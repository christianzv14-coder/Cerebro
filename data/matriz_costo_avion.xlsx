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171dda8de17894/Desktop/Enex/"/>
    </mc:Choice>
  </mc:AlternateContent>
  <xr:revisionPtr revIDLastSave="49" documentId="8_{779BFF23-F478-480E-BC26-60E4BB952075}" xr6:coauthVersionLast="47" xr6:coauthVersionMax="47" xr10:uidLastSave="{F229A45E-609C-4464-A996-A9BA981CFD3D}"/>
  <bookViews>
    <workbookView xWindow="-98" yWindow="-98" windowWidth="21795" windowHeight="12975" xr2:uid="{E07775A7-4B08-4E55-93F5-65AF3FCF621F}"/>
  </bookViews>
  <sheets>
    <sheet name="costo_avion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2" i="1"/>
</calcChain>
</file>

<file path=xl/sharedStrings.xml><?xml version="1.0" encoding="utf-8"?>
<sst xmlns="http://schemas.openxmlformats.org/spreadsheetml/2006/main" count="64" uniqueCount="33">
  <si>
    <t>Arica</t>
  </si>
  <si>
    <t>Iquique</t>
  </si>
  <si>
    <t>Antofagasta</t>
  </si>
  <si>
    <t>Calama</t>
  </si>
  <si>
    <t>Copiapó</t>
  </si>
  <si>
    <t>Santiago</t>
  </si>
  <si>
    <t>Concepción</t>
  </si>
  <si>
    <t>Temuco</t>
  </si>
  <si>
    <t>Valdivia</t>
  </si>
  <si>
    <t>Puerto Montt</t>
  </si>
  <si>
    <t>Punta Arenas</t>
  </si>
  <si>
    <t>ciudad</t>
  </si>
  <si>
    <t>Caldera</t>
  </si>
  <si>
    <t>Castro</t>
  </si>
  <si>
    <t>Chillán</t>
  </si>
  <si>
    <t>Coquimbo</t>
  </si>
  <si>
    <t>Coronel</t>
  </si>
  <si>
    <t>Lautaro</t>
  </si>
  <si>
    <t>Linares</t>
  </si>
  <si>
    <t>Los Ángeles</t>
  </si>
  <si>
    <t>Mejillones</t>
  </si>
  <si>
    <t>Osorno</t>
  </si>
  <si>
    <t>Ovalle</t>
  </si>
  <si>
    <t>Pichirropulli</t>
  </si>
  <si>
    <t>Puerto Aysen</t>
  </si>
  <si>
    <t>Puerto Natales</t>
  </si>
  <si>
    <t>Puerto Williams</t>
  </si>
  <si>
    <t>Romeral</t>
  </si>
  <si>
    <t>San Antonio</t>
  </si>
  <si>
    <t>San Fernando</t>
  </si>
  <si>
    <t>San Vicente</t>
  </si>
  <si>
    <t>Talca</t>
  </si>
  <si>
    <t>Valparaiso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</si>
</sst>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0" fillId="0" borderId="0" xfId="0" applyNumberFormat="1"/>
    <xf numFmtId="0" fontId="0" fillId="0" borderId="0" xfId="0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d171dda8de17894/Desktop/Enex/demanda_ciudades.xlsx" TargetMode="External"/><Relationship Id="rId1" Type="http://schemas.openxmlformats.org/officeDocument/2006/relationships/externalLinkPath" Target="demanda_ciudad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manda"/>
    </sheetNames>
    <sheetDataSet>
      <sheetData sheetId="0">
        <row r="1">
          <cell r="A1" t="str">
            <v>ciudad</v>
          </cell>
        </row>
        <row r="2">
          <cell r="A2" t="str">
            <v>Antofagasta</v>
          </cell>
        </row>
        <row r="3">
          <cell r="A3" t="str">
            <v>Arica</v>
          </cell>
        </row>
        <row r="4">
          <cell r="A4" t="str">
            <v>Calama</v>
          </cell>
        </row>
        <row r="5">
          <cell r="A5" t="str">
            <v>Caldera</v>
          </cell>
        </row>
        <row r="6">
          <cell r="A6" t="str">
            <v>Castro</v>
          </cell>
        </row>
        <row r="7">
          <cell r="A7" t="str">
            <v>Chillán</v>
          </cell>
        </row>
        <row r="8">
          <cell r="A8" t="str">
            <v>Concepción</v>
          </cell>
        </row>
        <row r="9">
          <cell r="A9" t="str">
            <v>Copiapó</v>
          </cell>
        </row>
        <row r="10">
          <cell r="A10" t="str">
            <v>Coquimbo</v>
          </cell>
        </row>
        <row r="11">
          <cell r="A11" t="str">
            <v>Coronel</v>
          </cell>
        </row>
        <row r="12">
          <cell r="A12" t="str">
            <v>Iquique</v>
          </cell>
        </row>
        <row r="13">
          <cell r="A13" t="str">
            <v>Lautaro</v>
          </cell>
        </row>
        <row r="14">
          <cell r="A14" t="str">
            <v>Linares</v>
          </cell>
        </row>
        <row r="15">
          <cell r="A15" t="str">
            <v>Los Ángeles</v>
          </cell>
        </row>
        <row r="16">
          <cell r="A16" t="str">
            <v>Mejillones</v>
          </cell>
        </row>
        <row r="17">
          <cell r="A17" t="str">
            <v>Osorno</v>
          </cell>
        </row>
        <row r="18">
          <cell r="A18" t="str">
            <v>Ovalle</v>
          </cell>
        </row>
        <row r="19">
          <cell r="A19" t="str">
            <v>Pichirropulli</v>
          </cell>
        </row>
        <row r="20">
          <cell r="A20" t="str">
            <v>Puerto Aysen</v>
          </cell>
        </row>
        <row r="21">
          <cell r="A21" t="str">
            <v>Puerto Montt</v>
          </cell>
        </row>
        <row r="22">
          <cell r="A22" t="str">
            <v>Puerto Natales</v>
          </cell>
        </row>
        <row r="23">
          <cell r="A23" t="str">
            <v>Puerto Williams</v>
          </cell>
        </row>
        <row r="24">
          <cell r="A24" t="str">
            <v>Punta Arenas</v>
          </cell>
        </row>
        <row r="25">
          <cell r="A25" t="str">
            <v>Romeral</v>
          </cell>
        </row>
        <row r="26">
          <cell r="A26" t="str">
            <v>San Antonio</v>
          </cell>
        </row>
        <row r="27">
          <cell r="A27" t="str">
            <v>San Fernando</v>
          </cell>
        </row>
        <row r="28">
          <cell r="A28" t="str">
            <v>San Vicente</v>
          </cell>
        </row>
        <row r="29">
          <cell r="A29" t="str">
            <v>Santiago</v>
          </cell>
        </row>
        <row r="30">
          <cell r="A30" t="str">
            <v>Talca</v>
          </cell>
        </row>
        <row r="31">
          <cell r="A31" t="str">
            <v>Valdivia</v>
          </cell>
        </row>
        <row r="32">
          <cell r="A32" t="str">
            <v>Valparaiso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96D2-9529-4573-B055-D0E1C7FFB44E}">
  <dimension ref="A1:AG32"/>
  <sheetViews>
    <sheetView tabSelected="1" topLeftCell="B1" zoomScale="70" zoomScaleNormal="70" workbookViewId="0">
      <selection activeCell="H14" sqref="H14"/>
    </sheetView>
  </sheetViews>
  <sheetFormatPr baseColWidth="10" defaultRowHeight="14.25" x14ac:dyDescent="0.45"/>
  <sheetData>
    <row r="1" spans="1:33" ht="28.5" x14ac:dyDescent="0.45">
      <c r="A1" s="1" t="s">
        <v>11</v>
      </c>
      <c r="B1" s="1" t="s">
        <v>11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4" t="s">
        <v>12</v>
      </c>
      <c r="O1" s="4" t="s">
        <v>13</v>
      </c>
      <c r="P1" s="4" t="s">
        <v>14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t="s">
        <v>24</v>
      </c>
      <c r="Z1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 x14ac:dyDescent="0.45">
      <c r="A2" s="2" t="s">
        <v>0</v>
      </c>
      <c r="B2" s="2" t="str">
        <f>VLOOKUP(A2,[1]demanda!$A:$A,1,0)</f>
        <v>Arica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1.5841012658227849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</row>
    <row r="3" spans="1:33" x14ac:dyDescent="0.45">
      <c r="A3" s="2" t="s">
        <v>1</v>
      </c>
      <c r="B3" s="2" t="str">
        <f>VLOOKUP(A3,[1]demanda!$A:$A,1,0)</f>
        <v>Iquique</v>
      </c>
      <c r="C3" s="3">
        <v>0</v>
      </c>
      <c r="D3" s="3">
        <v>0</v>
      </c>
      <c r="E3" s="3">
        <v>0.28762025316455697</v>
      </c>
      <c r="F3" s="3">
        <v>0</v>
      </c>
      <c r="G3" s="3">
        <v>0</v>
      </c>
      <c r="H3" s="3">
        <v>1.369240506329114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</row>
    <row r="4" spans="1:33" x14ac:dyDescent="0.45">
      <c r="A4" s="2" t="s">
        <v>2</v>
      </c>
      <c r="B4" s="2" t="str">
        <f>VLOOKUP(A4,[1]demanda!$A:$A,1,0)</f>
        <v>Antofagasta</v>
      </c>
      <c r="C4" s="3">
        <v>0</v>
      </c>
      <c r="D4" s="3">
        <v>0.28762025316455697</v>
      </c>
      <c r="E4" s="3">
        <v>0</v>
      </c>
      <c r="F4" s="3">
        <v>0.16810126582278481</v>
      </c>
      <c r="G4" s="3">
        <v>0</v>
      </c>
      <c r="H4" s="3">
        <v>1.0818987341772153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</row>
    <row r="5" spans="1:33" x14ac:dyDescent="0.45">
      <c r="A5" s="2" t="s">
        <v>3</v>
      </c>
      <c r="B5" s="2" t="str">
        <f>VLOOKUP(A5,[1]demanda!$A:$A,1,0)</f>
        <v>Calama</v>
      </c>
      <c r="C5" s="3">
        <v>0</v>
      </c>
      <c r="D5" s="3">
        <v>0</v>
      </c>
      <c r="E5" s="3">
        <v>0.16810126582278481</v>
      </c>
      <c r="F5" s="3">
        <v>0</v>
      </c>
      <c r="G5" s="3">
        <v>0</v>
      </c>
      <c r="H5" s="3">
        <v>1.1870632911392405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</row>
    <row r="6" spans="1:33" x14ac:dyDescent="0.45">
      <c r="A6" s="2" t="s">
        <v>4</v>
      </c>
      <c r="B6" s="2" t="str">
        <f>VLOOKUP(A6,[1]demanda!$A:$A,1,0)</f>
        <v>Copiapó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0.70273417721518983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</row>
    <row r="7" spans="1:33" x14ac:dyDescent="0.45">
      <c r="A7" s="2" t="s">
        <v>5</v>
      </c>
      <c r="B7" s="2" t="str">
        <f>VLOOKUP(A7,[1]demanda!$A:$A,1,0)</f>
        <v>Santiago</v>
      </c>
      <c r="C7" s="3">
        <v>1.5841012658227849</v>
      </c>
      <c r="D7" s="3">
        <v>1.369240506329114</v>
      </c>
      <c r="E7" s="3">
        <v>1.0818987341772153</v>
      </c>
      <c r="F7" s="3">
        <v>1.1870632911392405</v>
      </c>
      <c r="G7" s="3">
        <v>0.70273417721518983</v>
      </c>
      <c r="H7" s="3">
        <v>0</v>
      </c>
      <c r="I7" s="3">
        <v>0.48149367088607598</v>
      </c>
      <c r="J7" s="3">
        <v>0.65081012658227844</v>
      </c>
      <c r="K7" s="3">
        <v>0.74402531645569625</v>
      </c>
      <c r="L7" s="3">
        <v>0.91425316455696204</v>
      </c>
      <c r="M7" s="3">
        <v>2.0333670886075947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</row>
    <row r="8" spans="1:33" x14ac:dyDescent="0.45">
      <c r="A8" s="2" t="s">
        <v>6</v>
      </c>
      <c r="B8" s="2" t="str">
        <f>VLOOKUP(A8,[1]demanda!$A:$A,1,0)</f>
        <v>Concepción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0.48149367088607598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</row>
    <row r="9" spans="1:33" x14ac:dyDescent="0.45">
      <c r="A9" s="2" t="s">
        <v>8</v>
      </c>
      <c r="B9" s="2" t="str">
        <f>VLOOKUP(A9,[1]demanda!$A:$A,1,0)</f>
        <v>Valdivia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0.74402531645569625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</row>
    <row r="10" spans="1:33" ht="28.5" x14ac:dyDescent="0.45">
      <c r="A10" s="2" t="s">
        <v>9</v>
      </c>
      <c r="B10" s="2" t="str">
        <f>VLOOKUP(A10,[1]demanda!$A:$A,1,0)</f>
        <v>Puerto Montt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0.91425316455696204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</row>
    <row r="11" spans="1:33" ht="28.5" x14ac:dyDescent="0.45">
      <c r="A11" s="2" t="s">
        <v>10</v>
      </c>
      <c r="B11" s="2" t="str">
        <f>VLOOKUP(A11,[1]demanda!$A:$A,1,0)</f>
        <v>Punta Arenas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2.0333670886075947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</row>
    <row r="12" spans="1:33" x14ac:dyDescent="0.45">
      <c r="A12" s="4" t="s">
        <v>12</v>
      </c>
      <c r="B12" s="2" t="str">
        <f>VLOOKUP(A12,[1]demanda!$A:$A,1,0)</f>
        <v>Caldera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</row>
    <row r="13" spans="1:33" x14ac:dyDescent="0.45">
      <c r="A13" s="4" t="s">
        <v>13</v>
      </c>
      <c r="B13" s="2" t="str">
        <f>VLOOKUP(A13,[1]demanda!$A:$A,1,0)</f>
        <v>Castro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</row>
    <row r="14" spans="1:33" x14ac:dyDescent="0.45">
      <c r="A14" s="4" t="s">
        <v>14</v>
      </c>
      <c r="B14" s="2" t="str">
        <f>VLOOKUP(A14,[1]demanda!$A:$A,1,0)</f>
        <v>Chillán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</row>
    <row r="15" spans="1:33" x14ac:dyDescent="0.45">
      <c r="A15" s="4" t="s">
        <v>15</v>
      </c>
      <c r="B15" s="2" t="str">
        <f>VLOOKUP(A15,[1]demanda!$A:$A,1,0)</f>
        <v>Coquimbo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</row>
    <row r="16" spans="1:33" x14ac:dyDescent="0.45">
      <c r="A16" t="s">
        <v>16</v>
      </c>
      <c r="B16" s="2" t="str">
        <f>VLOOKUP(A16,[1]demanda!$A:$A,1,0)</f>
        <v>Coronel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</row>
    <row r="17" spans="1:32" x14ac:dyDescent="0.45">
      <c r="A17" s="4" t="s">
        <v>17</v>
      </c>
      <c r="B17" s="2" t="str">
        <f>VLOOKUP(A17,[1]demanda!$A:$A,1,0)</f>
        <v>Lautaro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</row>
    <row r="18" spans="1:32" x14ac:dyDescent="0.45">
      <c r="A18" s="4" t="s">
        <v>18</v>
      </c>
      <c r="B18" s="2" t="str">
        <f>VLOOKUP(A18,[1]demanda!$A:$A,1,0)</f>
        <v>Linares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</row>
    <row r="19" spans="1:32" x14ac:dyDescent="0.45">
      <c r="A19" s="4" t="s">
        <v>19</v>
      </c>
      <c r="B19" s="2" t="str">
        <f>VLOOKUP(A19,[1]demanda!$A:$A,1,0)</f>
        <v>Los Ángeles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</row>
    <row r="20" spans="1:32" x14ac:dyDescent="0.45">
      <c r="A20" s="4" t="s">
        <v>20</v>
      </c>
      <c r="B20" s="2" t="str">
        <f>VLOOKUP(A20,[1]demanda!$A:$A,1,0)</f>
        <v>Mejillones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</row>
    <row r="21" spans="1:32" x14ac:dyDescent="0.45">
      <c r="A21" s="4" t="s">
        <v>21</v>
      </c>
      <c r="B21" s="2" t="str">
        <f>VLOOKUP(A21,[1]demanda!$A:$A,1,0)</f>
        <v>Osorno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</row>
    <row r="22" spans="1:32" x14ac:dyDescent="0.45">
      <c r="A22" s="4" t="s">
        <v>22</v>
      </c>
      <c r="B22" s="2" t="str">
        <f>VLOOKUP(A22,[1]demanda!$A:$A,1,0)</f>
        <v>Ovalle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</row>
    <row r="23" spans="1:32" x14ac:dyDescent="0.45">
      <c r="A23" s="4" t="s">
        <v>23</v>
      </c>
      <c r="B23" s="2" t="str">
        <f>VLOOKUP(A23,[1]demanda!$A:$A,1,0)</f>
        <v>Pichirropulli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</row>
    <row r="24" spans="1:32" ht="28.5" x14ac:dyDescent="0.45">
      <c r="A24" t="s">
        <v>24</v>
      </c>
      <c r="B24" s="2" t="str">
        <f>VLOOKUP(A24,[1]demanda!$A:$A,1,0)</f>
        <v>Puerto Aysen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</row>
    <row r="25" spans="1:32" ht="28.5" x14ac:dyDescent="0.45">
      <c r="A25" t="s">
        <v>25</v>
      </c>
      <c r="B25" s="2" t="str">
        <f>VLOOKUP(A25,[1]demanda!$A:$A,1,0)</f>
        <v>Puerto Natales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</row>
    <row r="26" spans="1:32" ht="28.5" x14ac:dyDescent="0.45">
      <c r="A26" s="4" t="s">
        <v>26</v>
      </c>
      <c r="B26" s="2" t="str">
        <f>VLOOKUP(A26,[1]demanda!$A:$A,1,0)</f>
        <v>Puerto Williams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</row>
    <row r="27" spans="1:32" x14ac:dyDescent="0.45">
      <c r="A27" s="4" t="s">
        <v>27</v>
      </c>
      <c r="B27" s="2" t="str">
        <f>VLOOKUP(A27,[1]demanda!$A:$A,1,0)</f>
        <v>Romeral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</row>
    <row r="28" spans="1:32" x14ac:dyDescent="0.45">
      <c r="A28" s="4" t="s">
        <v>28</v>
      </c>
      <c r="B28" s="2" t="str">
        <f>VLOOKUP(A28,[1]demanda!$A:$A,1,0)</f>
        <v>San Antonio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</row>
    <row r="29" spans="1:32" ht="28.5" x14ac:dyDescent="0.45">
      <c r="A29" s="4" t="s">
        <v>29</v>
      </c>
      <c r="B29" s="2" t="str">
        <f>VLOOKUP(A29,[1]demanda!$A:$A,1,0)</f>
        <v>San Fernando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</row>
    <row r="30" spans="1:32" x14ac:dyDescent="0.45">
      <c r="A30" s="4" t="s">
        <v>30</v>
      </c>
      <c r="B30" s="2" t="str">
        <f>VLOOKUP(A30,[1]demanda!$A:$A,1,0)</f>
        <v>San Vicente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</row>
    <row r="31" spans="1:32" x14ac:dyDescent="0.45">
      <c r="A31" s="4" t="s">
        <v>31</v>
      </c>
      <c r="B31" s="2" t="str">
        <f>VLOOKUP(A31,[1]demanda!$A:$A,1,0)</f>
        <v>Talca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</row>
    <row r="32" spans="1:32" x14ac:dyDescent="0.45">
      <c r="A32" s="4" t="s">
        <v>32</v>
      </c>
      <c r="B32" s="2" t="str">
        <f>VLOOKUP(A32,[1]demanda!$A:$A,1,0)</f>
        <v>Valparaiso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costo_avion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zambrano vallejos</dc:creator>
  <cp:lastModifiedBy>christian zambrano vallejos</cp:lastModifiedBy>
  <dcterms:created xsi:type="dcterms:W3CDTF">2025-12-19T04:33:51Z</dcterms:created>
  <dcterms:modified xsi:type="dcterms:W3CDTF">2025-12-19T06:01:14Z</dcterms:modified>
</cp:coreProperties>
</file>