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data/"/>
    </mc:Choice>
  </mc:AlternateContent>
  <xr:revisionPtr revIDLastSave="60" documentId="8_{E8077981-0C02-4AC9-A527-E07E28F4D06B}" xr6:coauthVersionLast="47" xr6:coauthVersionMax="47" xr10:uidLastSave="{A94224C3-AE6C-49E9-81D5-80C430C639BD}"/>
  <bookViews>
    <workbookView xWindow="-98" yWindow="-98" windowWidth="21795" windowHeight="12975" xr2:uid="{7D296037-CB15-4E7C-9EA2-3A9DE4D5F142}"/>
  </bookViews>
  <sheets>
    <sheet name="Flete" sheetId="1" r:id="rId1"/>
  </sheets>
  <externalReferences>
    <externalReference r:id="rId2"/>
  </externalReferences>
  <definedNames>
    <definedName name="_xlnm._FilterDatabase" localSheetId="0" hidden="1">Flete!$A$1:$B$18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4" i="1"/>
  <c r="C15" i="1"/>
  <c r="C16" i="1"/>
  <c r="C2" i="1"/>
</calcChain>
</file>

<file path=xl/sharedStrings.xml><?xml version="1.0" encoding="utf-8"?>
<sst xmlns="http://schemas.openxmlformats.org/spreadsheetml/2006/main" count="17" uniqueCount="17">
  <si>
    <t>Valparaiso</t>
  </si>
  <si>
    <t>Talca</t>
  </si>
  <si>
    <t>Santiago</t>
  </si>
  <si>
    <t>Puerto Montt</t>
  </si>
  <si>
    <t>Los Ángeles</t>
  </si>
  <si>
    <t>Coquimbo</t>
  </si>
  <si>
    <t>Concepción</t>
  </si>
  <si>
    <t>Chillán</t>
  </si>
  <si>
    <t>Antofagasta</t>
  </si>
  <si>
    <t>costo_flete</t>
  </si>
  <si>
    <t>ciudad</t>
  </si>
  <si>
    <t>Chiloe</t>
  </si>
  <si>
    <t>La Serena</t>
  </si>
  <si>
    <t>Temuco</t>
  </si>
  <si>
    <t>Curanilahue</t>
  </si>
  <si>
    <t>Rancagua</t>
  </si>
  <si>
    <t>Curico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</si>
</sst>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2" borderId="0" xfId="0" applyFill="1"/>
    <xf numFmtId="2" fontId="0" fillId="0" borderId="0" xfId="0" applyNumberFormat="1"/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d171dda8de17894/Desktop/cerebro-patio/Cerebro/data/demanda_ciudades.xlsx" TargetMode="External"/><Relationship Id="rId1" Type="http://schemas.openxmlformats.org/officeDocument/2006/relationships/externalLinkPath" Target="demanda_ciuda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manda"/>
    </sheetNames>
    <sheetDataSet>
      <sheetData sheetId="0">
        <row r="1">
          <cell r="A1" t="str">
            <v>ciudad</v>
          </cell>
        </row>
        <row r="2">
          <cell r="A2" t="str">
            <v>Antofagasta</v>
          </cell>
        </row>
        <row r="3">
          <cell r="A3" t="str">
            <v>Chillán</v>
          </cell>
        </row>
        <row r="4">
          <cell r="A4" t="str">
            <v>Concepción</v>
          </cell>
        </row>
        <row r="5">
          <cell r="A5" t="str">
            <v>Coquimbo</v>
          </cell>
        </row>
        <row r="6">
          <cell r="A6" t="str">
            <v>Los Ángeles</v>
          </cell>
        </row>
        <row r="7">
          <cell r="A7" t="str">
            <v>Puerto Montt</v>
          </cell>
        </row>
        <row r="8">
          <cell r="A8" t="str">
            <v>Valparaiso</v>
          </cell>
        </row>
        <row r="9">
          <cell r="A9" t="str">
            <v>Rancagua</v>
          </cell>
        </row>
        <row r="10">
          <cell r="A10" t="str">
            <v>Santiago</v>
          </cell>
        </row>
        <row r="11">
          <cell r="A11" t="str">
            <v>Curico</v>
          </cell>
        </row>
        <row r="12">
          <cell r="A12" t="str">
            <v>Temuco</v>
          </cell>
        </row>
        <row r="13">
          <cell r="A13" t="str">
            <v>Chiloe</v>
          </cell>
        </row>
        <row r="14">
          <cell r="A14" t="str">
            <v>La Serena</v>
          </cell>
        </row>
        <row r="15">
          <cell r="A15" t="str">
            <v>Curanilahue</v>
          </cell>
        </row>
        <row r="16">
          <cell r="A16" t="str">
            <v>Talca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D2EF-63B4-473C-911B-65AEEFDE1EB2}">
  <dimension ref="A1:E36"/>
  <sheetViews>
    <sheetView tabSelected="1" workbookViewId="0">
      <selection activeCell="E7" sqref="E7"/>
    </sheetView>
  </sheetViews>
  <sheetFormatPr baseColWidth="10" defaultRowHeight="14.25" x14ac:dyDescent="0.45"/>
  <cols>
    <col min="1" max="1" width="17.9296875" customWidth="1"/>
  </cols>
  <sheetData>
    <row r="1" spans="1:3" x14ac:dyDescent="0.45">
      <c r="A1" s="2" t="s">
        <v>10</v>
      </c>
      <c r="B1" s="2" t="s">
        <v>9</v>
      </c>
    </row>
    <row r="2" spans="1:3" x14ac:dyDescent="0.45">
      <c r="A2" s="6" t="s">
        <v>8</v>
      </c>
      <c r="B2" s="3">
        <v>1.2976708860759494</v>
      </c>
      <c r="C2" t="str">
        <f>VLOOKUP(A2,[1]demanda!$A:$A,1,0)</f>
        <v>Antofagasta</v>
      </c>
    </row>
    <row r="3" spans="1:3" x14ac:dyDescent="0.45">
      <c r="A3" s="6" t="s">
        <v>11</v>
      </c>
      <c r="B3" s="3">
        <v>0.41706329113924051</v>
      </c>
      <c r="C3" t="str">
        <f>VLOOKUP(A3,[1]demanda!$A:$A,1,0)</f>
        <v>Chiloe</v>
      </c>
    </row>
    <row r="4" spans="1:3" x14ac:dyDescent="0.45">
      <c r="A4" s="6" t="s">
        <v>7</v>
      </c>
      <c r="B4" s="3">
        <v>0.35898734177215191</v>
      </c>
      <c r="C4" t="str">
        <f>VLOOKUP(A4,[1]demanda!$A:$A,1,0)</f>
        <v>Chillán</v>
      </c>
    </row>
    <row r="5" spans="1:3" x14ac:dyDescent="0.45">
      <c r="A5" s="6" t="s">
        <v>6</v>
      </c>
      <c r="B5" s="3">
        <v>0.35898734177215191</v>
      </c>
      <c r="C5" t="str">
        <f>VLOOKUP(A5,[1]demanda!$A:$A,1,0)</f>
        <v>Concepción</v>
      </c>
    </row>
    <row r="6" spans="1:3" x14ac:dyDescent="0.45">
      <c r="A6" s="6" t="s">
        <v>5</v>
      </c>
      <c r="B6" s="3">
        <v>0.3681518987341772</v>
      </c>
      <c r="C6" t="str">
        <f>VLOOKUP(A6,[1]demanda!$A:$A,1,0)</f>
        <v>Coquimbo</v>
      </c>
    </row>
    <row r="7" spans="1:3" x14ac:dyDescent="0.45">
      <c r="A7" s="6" t="s">
        <v>12</v>
      </c>
      <c r="B7" s="3">
        <v>0.3681518987341772</v>
      </c>
      <c r="C7" t="str">
        <f>VLOOKUP(A7,[1]demanda!$A:$A,1,0)</f>
        <v>La Serena</v>
      </c>
    </row>
    <row r="8" spans="1:3" x14ac:dyDescent="0.45">
      <c r="A8" s="6" t="s">
        <v>4</v>
      </c>
      <c r="B8" s="3">
        <v>0.35898734177215191</v>
      </c>
      <c r="C8" t="str">
        <f>VLOOKUP(A8,[1]demanda!$A:$A,1,0)</f>
        <v>Los Ángeles</v>
      </c>
    </row>
    <row r="9" spans="1:3" x14ac:dyDescent="0.45">
      <c r="A9" s="6" t="s">
        <v>3</v>
      </c>
      <c r="B9" s="3">
        <v>0.41706329113924051</v>
      </c>
      <c r="C9" t="str">
        <f>VLOOKUP(A9,[1]demanda!$A:$A,1,0)</f>
        <v>Puerto Montt</v>
      </c>
    </row>
    <row r="10" spans="1:3" x14ac:dyDescent="0.45">
      <c r="A10" s="6" t="s">
        <v>15</v>
      </c>
      <c r="B10" s="3">
        <v>0.3468101265822785</v>
      </c>
      <c r="C10" t="str">
        <f>VLOOKUP(A10,[1]demanda!$A:$A,1,0)</f>
        <v>Rancagua</v>
      </c>
    </row>
    <row r="11" spans="1:3" x14ac:dyDescent="0.45">
      <c r="A11" s="6" t="s">
        <v>2</v>
      </c>
      <c r="B11" s="3">
        <v>0</v>
      </c>
      <c r="C11" t="str">
        <f>VLOOKUP(A11,[1]demanda!$A:$A,1,0)</f>
        <v>Santiago</v>
      </c>
    </row>
    <row r="12" spans="1:3" x14ac:dyDescent="0.45">
      <c r="A12" s="6" t="s">
        <v>16</v>
      </c>
      <c r="B12" s="3">
        <v>0.35356962025316457</v>
      </c>
      <c r="C12" t="str">
        <f>VLOOKUP(A12,[1]demanda!$A:$A,1,0)</f>
        <v>Curico</v>
      </c>
    </row>
    <row r="13" spans="1:3" x14ac:dyDescent="0.45">
      <c r="A13" s="6" t="s">
        <v>1</v>
      </c>
      <c r="B13" s="3">
        <v>0.35356962025316457</v>
      </c>
    </row>
    <row r="14" spans="1:3" x14ac:dyDescent="0.45">
      <c r="A14" s="6" t="s">
        <v>0</v>
      </c>
      <c r="B14" s="3">
        <v>0.3468101265822785</v>
      </c>
      <c r="C14" t="str">
        <f>VLOOKUP(A14,[1]demanda!$A:$A,1,0)</f>
        <v>Valparaiso</v>
      </c>
    </row>
    <row r="15" spans="1:3" x14ac:dyDescent="0.45">
      <c r="A15" s="6" t="s">
        <v>13</v>
      </c>
      <c r="B15" s="5">
        <v>0.34430379746835443</v>
      </c>
      <c r="C15" t="str">
        <f>VLOOKUP(A15,[1]demanda!$A:$A,1,0)</f>
        <v>Temuco</v>
      </c>
    </row>
    <row r="16" spans="1:3" x14ac:dyDescent="0.45">
      <c r="A16" s="4" t="s">
        <v>14</v>
      </c>
      <c r="B16" s="3">
        <v>0.35898734177215191</v>
      </c>
      <c r="C16" t="str">
        <f>VLOOKUP(A16,[1]demanda!$A:$A,1,0)</f>
        <v>Curanilahue</v>
      </c>
    </row>
    <row r="17" spans="1:5" x14ac:dyDescent="0.45">
      <c r="A17" s="6"/>
      <c r="B17" s="3"/>
    </row>
    <row r="18" spans="1:5" x14ac:dyDescent="0.45">
      <c r="B18" s="3"/>
    </row>
    <row r="19" spans="1:5" x14ac:dyDescent="0.45">
      <c r="A19" s="1"/>
      <c r="B19" s="3"/>
    </row>
    <row r="20" spans="1:5" x14ac:dyDescent="0.45">
      <c r="A20" s="1"/>
      <c r="B20" s="3"/>
    </row>
    <row r="21" spans="1:5" x14ac:dyDescent="0.45">
      <c r="B21" s="3"/>
      <c r="E21" s="3"/>
    </row>
    <row r="22" spans="1:5" x14ac:dyDescent="0.45">
      <c r="A22" s="1"/>
      <c r="B22" s="3"/>
    </row>
    <row r="23" spans="1:5" x14ac:dyDescent="0.45">
      <c r="A23" s="1"/>
      <c r="B23" s="3"/>
    </row>
    <row r="24" spans="1:5" x14ac:dyDescent="0.45">
      <c r="A24" s="1"/>
      <c r="B24" s="3"/>
    </row>
    <row r="25" spans="1:5" x14ac:dyDescent="0.45">
      <c r="A25" s="1"/>
      <c r="B25" s="3"/>
    </row>
    <row r="26" spans="1:5" x14ac:dyDescent="0.45">
      <c r="A26" s="1"/>
      <c r="B26" s="3"/>
    </row>
    <row r="27" spans="1:5" x14ac:dyDescent="0.45">
      <c r="A27" s="1"/>
      <c r="B27" s="3"/>
    </row>
    <row r="28" spans="1:5" x14ac:dyDescent="0.45">
      <c r="A28" s="1"/>
      <c r="B28" s="3"/>
    </row>
    <row r="29" spans="1:5" x14ac:dyDescent="0.45">
      <c r="A29" s="1"/>
      <c r="B29" s="3"/>
    </row>
    <row r="30" spans="1:5" x14ac:dyDescent="0.45">
      <c r="A30" s="1"/>
      <c r="B30" s="3"/>
    </row>
    <row r="31" spans="1:5" x14ac:dyDescent="0.45">
      <c r="A31" s="1"/>
      <c r="B31" s="3"/>
    </row>
    <row r="32" spans="1:5" x14ac:dyDescent="0.45">
      <c r="A32" s="1"/>
      <c r="B32" s="3"/>
    </row>
    <row r="33" spans="1:2" x14ac:dyDescent="0.45">
      <c r="A33" s="1"/>
      <c r="B33" s="3"/>
    </row>
    <row r="34" spans="1:2" x14ac:dyDescent="0.45">
      <c r="A34" s="1"/>
      <c r="B34" s="3"/>
    </row>
    <row r="35" spans="1:2" x14ac:dyDescent="0.45">
      <c r="A35" s="1"/>
      <c r="B35" s="3"/>
    </row>
    <row r="36" spans="1:2" x14ac:dyDescent="0.45">
      <c r="A36" s="1"/>
      <c r="B36" s="3"/>
    </row>
  </sheetData>
  <autoFilter ref="A1:B18" xr:uid="{479846F8-BE87-4FCF-9871-24624D9E497E}">
    <sortState xmlns:xlrd2="http://schemas.microsoft.com/office/spreadsheetml/2017/richdata2" ref="A2:B36">
      <sortCondition sortBy="cellColor" ref="A1:A18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zambrano vallejos</dc:creator>
  <cp:lastModifiedBy>christian zambrano vallejos</cp:lastModifiedBy>
  <dcterms:created xsi:type="dcterms:W3CDTF">2025-12-19T03:08:26Z</dcterms:created>
  <dcterms:modified xsi:type="dcterms:W3CDTF">2025-12-23T15:07:36Z</dcterms:modified>
</cp:coreProperties>
</file>