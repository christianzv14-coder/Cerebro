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fd171dda8de17894/Desktop/cerebro-patio/Cerebro/"/>
    </mc:Choice>
  </mc:AlternateContent>
  <xr:revisionPtr revIDLastSave="0" documentId="8_{F2AAE9DB-DC47-4CFD-9AE0-E7902B0254F1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Costos_por_Ciudad" sheetId="2" r:id="rId1"/>
    <sheet name="Hoja1" sheetId="5" state="hidden" r:id="rId2"/>
    <sheet name="Ruta" sheetId="6" r:id="rId3"/>
    <sheet name="Plan_Diario" sheetId="3" state="hidden" r:id="rId4"/>
  </sheets>
  <definedNames>
    <definedName name="_xlnm._FilterDatabase" localSheetId="0" hidden="1">Costos_por_Ciudad!$A$1:$W$18</definedName>
  </definedNames>
  <calcPr calcId="191029"/>
  <pivotCaches>
    <pivotCache cacheId="3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2" i="2" l="1"/>
  <c r="F38" i="2" l="1"/>
  <c r="E38" i="2"/>
  <c r="D38" i="2"/>
  <c r="D36" i="2"/>
  <c r="D37" i="2"/>
  <c r="D23" i="2"/>
  <c r="T2" i="2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D31" i="2"/>
  <c r="F37" i="2"/>
  <c r="E37" i="2"/>
  <c r="F36" i="2"/>
  <c r="E36" i="2"/>
  <c r="D34" i="2"/>
  <c r="F23" i="2"/>
  <c r="E23" i="2"/>
  <c r="E25" i="2" s="1"/>
  <c r="F25" i="2"/>
  <c r="J24" i="2"/>
  <c r="F39" i="2"/>
  <c r="E39" i="2" l="1"/>
  <c r="E44" i="2" s="1"/>
  <c r="F44" i="2"/>
  <c r="L6" i="2" l="1"/>
  <c r="J6" i="2"/>
  <c r="I6" i="2"/>
  <c r="L15" i="2"/>
  <c r="J15" i="2"/>
  <c r="I15" i="2"/>
  <c r="I10" i="2"/>
  <c r="L10" i="2"/>
  <c r="L4" i="2"/>
  <c r="I4" i="2"/>
  <c r="J3" i="2"/>
  <c r="L3" i="2"/>
  <c r="I3" i="2"/>
  <c r="L2" i="2"/>
  <c r="J2" i="2"/>
  <c r="I2" i="2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D27" i="2" l="1"/>
  <c r="K6" i="2"/>
  <c r="K4" i="2"/>
  <c r="K10" i="2"/>
  <c r="I7" i="2"/>
  <c r="J7" i="2"/>
  <c r="K7" i="2"/>
  <c r="L7" i="2"/>
  <c r="L14" i="2"/>
  <c r="L13" i="2"/>
  <c r="L12" i="2"/>
  <c r="K13" i="2"/>
  <c r="K14" i="2"/>
  <c r="K12" i="2"/>
  <c r="K3" i="2"/>
  <c r="J14" i="2"/>
  <c r="J13" i="2"/>
  <c r="J12" i="2"/>
  <c r="I14" i="2"/>
  <c r="I13" i="2"/>
  <c r="I12" i="2"/>
  <c r="K2" i="2"/>
  <c r="D32" i="2" s="1"/>
  <c r="K15" i="2"/>
  <c r="D3" i="2"/>
  <c r="D4" i="2"/>
  <c r="S4" i="2" s="1"/>
  <c r="D5" i="2"/>
  <c r="D24" i="2" s="1"/>
  <c r="D25" i="2" s="1"/>
  <c r="D6" i="2"/>
  <c r="S6" i="2" s="1"/>
  <c r="D7" i="2"/>
  <c r="D8" i="2"/>
  <c r="D9" i="2"/>
  <c r="D10" i="2"/>
  <c r="D11" i="2"/>
  <c r="D12" i="2"/>
  <c r="D13" i="2"/>
  <c r="D14" i="2"/>
  <c r="D15" i="2"/>
  <c r="D16" i="2"/>
  <c r="D2" i="2"/>
  <c r="S2" i="2" s="1"/>
  <c r="S3" i="2" l="1"/>
  <c r="S5" i="2"/>
  <c r="S7" i="2"/>
  <c r="S8" i="2"/>
  <c r="S9" i="2"/>
  <c r="S10" i="2"/>
  <c r="S11" i="2"/>
  <c r="S12" i="2"/>
  <c r="S13" i="2"/>
  <c r="S14" i="2"/>
  <c r="S15" i="2"/>
  <c r="S16" i="2"/>
  <c r="L5" i="2"/>
  <c r="D33" i="2" s="1"/>
  <c r="L8" i="2"/>
  <c r="L9" i="2"/>
  <c r="L11" i="2"/>
  <c r="L16" i="2"/>
  <c r="P3" i="2"/>
  <c r="Q3" i="2" s="1"/>
  <c r="P4" i="2"/>
  <c r="Q4" i="2" s="1"/>
  <c r="P5" i="2"/>
  <c r="Q5" i="2" s="1"/>
  <c r="P6" i="2"/>
  <c r="Q6" i="2" s="1"/>
  <c r="P7" i="2"/>
  <c r="Q7" i="2" s="1"/>
  <c r="P8" i="2"/>
  <c r="Q8" i="2" s="1"/>
  <c r="P9" i="2"/>
  <c r="Q9" i="2" s="1"/>
  <c r="P10" i="2"/>
  <c r="Q10" i="2" s="1"/>
  <c r="P11" i="2"/>
  <c r="Q11" i="2" s="1"/>
  <c r="P12" i="2"/>
  <c r="Q12" i="2" s="1"/>
  <c r="P13" i="2"/>
  <c r="Q13" i="2" s="1"/>
  <c r="P14" i="2"/>
  <c r="Q14" i="2" s="1"/>
  <c r="P15" i="2"/>
  <c r="Q15" i="2" s="1"/>
  <c r="P16" i="2"/>
  <c r="Q16" i="2" s="1"/>
  <c r="P2" i="2"/>
  <c r="Q2" i="2" l="1"/>
  <c r="D35" i="2"/>
  <c r="J5" i="2"/>
  <c r="D30" i="2" s="1"/>
  <c r="J8" i="2"/>
  <c r="J9" i="2"/>
  <c r="J11" i="2"/>
  <c r="J16" i="2"/>
  <c r="I5" i="2"/>
  <c r="I8" i="2"/>
  <c r="I9" i="2"/>
  <c r="I11" i="2"/>
  <c r="I16" i="2"/>
  <c r="D29" i="2" l="1"/>
  <c r="F3" i="2"/>
  <c r="H3" i="2" s="1"/>
  <c r="F4" i="2"/>
  <c r="H4" i="2" s="1"/>
  <c r="F5" i="2"/>
  <c r="H5" i="2" s="1"/>
  <c r="F6" i="2"/>
  <c r="H6" i="2" s="1"/>
  <c r="F7" i="2"/>
  <c r="H7" i="2" s="1"/>
  <c r="F8" i="2"/>
  <c r="H8" i="2" s="1"/>
  <c r="F9" i="2"/>
  <c r="H9" i="2" s="1"/>
  <c r="F10" i="2"/>
  <c r="H10" i="2" s="1"/>
  <c r="F11" i="2"/>
  <c r="H11" i="2" s="1"/>
  <c r="F12" i="2"/>
  <c r="F13" i="2"/>
  <c r="H13" i="2" s="1"/>
  <c r="F14" i="2"/>
  <c r="H14" i="2" s="1"/>
  <c r="F15" i="2"/>
  <c r="H15" i="2" s="1"/>
  <c r="F16" i="2"/>
  <c r="H16" i="2" s="1"/>
  <c r="F2" i="2"/>
  <c r="H2" i="2" s="1"/>
  <c r="H12" i="2" l="1"/>
  <c r="M12" i="2" s="1"/>
  <c r="U12" i="2" s="1"/>
  <c r="M10" i="2"/>
  <c r="M2" i="2"/>
  <c r="M9" i="2"/>
  <c r="U9" i="2" s="1"/>
  <c r="M16" i="2"/>
  <c r="U16" i="2" s="1"/>
  <c r="M8" i="2"/>
  <c r="U8" i="2" s="1"/>
  <c r="M15" i="2"/>
  <c r="U15" i="2" s="1"/>
  <c r="M7" i="2"/>
  <c r="U7" i="2" s="1"/>
  <c r="M14" i="2"/>
  <c r="U14" i="2" s="1"/>
  <c r="M6" i="2"/>
  <c r="U6" i="2" s="1"/>
  <c r="M13" i="2"/>
  <c r="U13" i="2" s="1"/>
  <c r="M5" i="2"/>
  <c r="U5" i="2" s="1"/>
  <c r="M4" i="2"/>
  <c r="U4" i="2" s="1"/>
  <c r="M11" i="2"/>
  <c r="U11" i="2" s="1"/>
  <c r="D28" i="2" l="1"/>
  <c r="D39" i="2" s="1"/>
  <c r="D44" i="2" s="1"/>
  <c r="D45" i="2" s="1"/>
  <c r="U10" i="2"/>
  <c r="U2" i="2"/>
  <c r="M3" i="2"/>
  <c r="U3" i="2" s="1"/>
  <c r="E45" i="2" l="1"/>
  <c r="J32" i="2"/>
  <c r="F45" i="2" l="1"/>
  <c r="D46" i="2" s="1"/>
  <c r="D47" i="2" s="1"/>
</calcChain>
</file>

<file path=xl/sharedStrings.xml><?xml version="1.0" encoding="utf-8"?>
<sst xmlns="http://schemas.openxmlformats.org/spreadsheetml/2006/main" count="188" uniqueCount="98">
  <si>
    <t>gps_total</t>
  </si>
  <si>
    <t>nota</t>
  </si>
  <si>
    <t>ciudad</t>
  </si>
  <si>
    <t>gps_internos</t>
  </si>
  <si>
    <t>gps_externos</t>
  </si>
  <si>
    <t>pxq_unit_uf_gps</t>
  </si>
  <si>
    <t>pxq_uf</t>
  </si>
  <si>
    <t>flete_uf</t>
  </si>
  <si>
    <t>total_ciudad_uf</t>
  </si>
  <si>
    <t>Temuco</t>
  </si>
  <si>
    <t>Talca</t>
  </si>
  <si>
    <t>Santiago</t>
  </si>
  <si>
    <t>Coquimbo</t>
  </si>
  <si>
    <t>Antofagasta</t>
  </si>
  <si>
    <t>Puerto Montt</t>
  </si>
  <si>
    <t>La Serena</t>
  </si>
  <si>
    <t>Concepción</t>
  </si>
  <si>
    <t>Chillán</t>
  </si>
  <si>
    <t>Chiloé</t>
  </si>
  <si>
    <t>Curicó</t>
  </si>
  <si>
    <t>Rancagua</t>
  </si>
  <si>
    <t>Valparaíso</t>
  </si>
  <si>
    <t>Los Ángeles</t>
  </si>
  <si>
    <t>Curanilahue</t>
  </si>
  <si>
    <t>tecnico</t>
  </si>
  <si>
    <t>dia</t>
  </si>
  <si>
    <t>ciudad_trabajo</t>
  </si>
  <si>
    <t>horas_instal</t>
  </si>
  <si>
    <t>gps_inst</t>
  </si>
  <si>
    <t>viaje_modo_manana</t>
  </si>
  <si>
    <t>viaje_h_manana</t>
  </si>
  <si>
    <t>duerme_en</t>
  </si>
  <si>
    <t>Jimmy</t>
  </si>
  <si>
    <t>terrestre</t>
  </si>
  <si>
    <t>Luis</t>
  </si>
  <si>
    <t>Orlando</t>
  </si>
  <si>
    <t>% Internos</t>
  </si>
  <si>
    <t>Puntos</t>
  </si>
  <si>
    <t>sueldo</t>
  </si>
  <si>
    <t>Almuerzos</t>
  </si>
  <si>
    <t>Alojamientos</t>
  </si>
  <si>
    <t>Viajes</t>
  </si>
  <si>
    <t>Traslado Interno</t>
  </si>
  <si>
    <t>Total Interno</t>
  </si>
  <si>
    <t>Total Externos</t>
  </si>
  <si>
    <t>Materiales_uf</t>
  </si>
  <si>
    <t>accesorios</t>
  </si>
  <si>
    <t>TOTAL PROYECTO</t>
  </si>
  <si>
    <t>Extras 10%</t>
  </si>
  <si>
    <t>Etiquetas de fila</t>
  </si>
  <si>
    <t>Total general</t>
  </si>
  <si>
    <t>Cuenta de dia</t>
  </si>
  <si>
    <t>Tecnico</t>
  </si>
  <si>
    <t>Interno</t>
  </si>
  <si>
    <t>Externo</t>
  </si>
  <si>
    <t>Tipo Vuelo</t>
  </si>
  <si>
    <t>Base</t>
  </si>
  <si>
    <t>Terrestre Calm-Antof</t>
  </si>
  <si>
    <t>Terrestre Chill-Los ang</t>
  </si>
  <si>
    <t>Terrestre Los ang- Tem</t>
  </si>
  <si>
    <t>Terrestre Temu-Puertom</t>
  </si>
  <si>
    <t>Terrestre scl-ranc</t>
  </si>
  <si>
    <t>Terrestre Curi-Tal</t>
  </si>
  <si>
    <t>Terrestre scl- Curi</t>
  </si>
  <si>
    <t>Terreste scl-valp</t>
  </si>
  <si>
    <t>Ingresos</t>
  </si>
  <si>
    <t>Servicio GPS</t>
  </si>
  <si>
    <t>Instalaciones</t>
  </si>
  <si>
    <t>-</t>
  </si>
  <si>
    <t xml:space="preserve"> Puntos</t>
  </si>
  <si>
    <t xml:space="preserve"> Sueldo</t>
  </si>
  <si>
    <t xml:space="preserve"> Almuerzos</t>
  </si>
  <si>
    <t xml:space="preserve"> Alojamientos</t>
  </si>
  <si>
    <t>Materiales</t>
  </si>
  <si>
    <t xml:space="preserve"> Viaje</t>
  </si>
  <si>
    <t xml:space="preserve"> Traslado Int.</t>
  </si>
  <si>
    <t>Total Flete</t>
  </si>
  <si>
    <t>Externos</t>
  </si>
  <si>
    <t>Sim</t>
  </si>
  <si>
    <t>Data Center</t>
  </si>
  <si>
    <t>Egresos</t>
  </si>
  <si>
    <t>Inversion</t>
  </si>
  <si>
    <t>Total Año</t>
  </si>
  <si>
    <t>Total Acumulado</t>
  </si>
  <si>
    <t>Van 8% UF</t>
  </si>
  <si>
    <t>Van 8% CLP</t>
  </si>
  <si>
    <t>Total Gps Interno</t>
  </si>
  <si>
    <t>Total Gps Externo</t>
  </si>
  <si>
    <t>Total</t>
  </si>
  <si>
    <t>Ciudades Internos</t>
  </si>
  <si>
    <t>Ciudades Externos</t>
  </si>
  <si>
    <t>Evaluacion Rabie</t>
  </si>
  <si>
    <t>Valparaiso</t>
  </si>
  <si>
    <t>Curico</t>
  </si>
  <si>
    <t>Chillan</t>
  </si>
  <si>
    <t>Los Angeles</t>
  </si>
  <si>
    <t>UF/Kits</t>
  </si>
  <si>
    <t>Kam 10%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</si>
</sst>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 &quot;$&quot;* #,##0_ ;_ &quot;$&quot;* \-#,##0_ ;_ &quot;$&quot;* &quot;-&quot;_ ;_ @_ "/>
    <numFmt numFmtId="164" formatCode="0.0"/>
    <numFmt numFmtId="165" formatCode="[$-F400]h:mm:ss\ AM/PM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51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top"/>
    </xf>
    <xf numFmtId="0" fontId="1" fillId="5" borderId="1" xfId="0" applyFont="1" applyFill="1" applyBorder="1" applyAlignment="1">
      <alignment horizontal="center" vertical="top"/>
    </xf>
    <xf numFmtId="0" fontId="1" fillId="6" borderId="1" xfId="0" applyFont="1" applyFill="1" applyBorder="1" applyAlignment="1">
      <alignment horizontal="center" vertical="top"/>
    </xf>
    <xf numFmtId="0" fontId="1" fillId="7" borderId="1" xfId="0" applyFont="1" applyFill="1" applyBorder="1" applyAlignment="1">
      <alignment horizontal="center" vertical="top"/>
    </xf>
    <xf numFmtId="9" fontId="0" fillId="0" borderId="0" xfId="1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164" fontId="0" fillId="0" borderId="0" xfId="0" applyNumberFormat="1"/>
    <xf numFmtId="0" fontId="1" fillId="8" borderId="1" xfId="0" applyFont="1" applyFill="1" applyBorder="1" applyAlignment="1">
      <alignment horizontal="center" vertical="top"/>
    </xf>
    <xf numFmtId="164" fontId="0" fillId="0" borderId="0" xfId="2" applyNumberFormat="1" applyFont="1" applyAlignment="1">
      <alignment horizontal="center"/>
    </xf>
    <xf numFmtId="42" fontId="0" fillId="0" borderId="0" xfId="2" applyFont="1"/>
    <xf numFmtId="42" fontId="0" fillId="0" borderId="0" xfId="0" applyNumberFormat="1"/>
    <xf numFmtId="2" fontId="0" fillId="0" borderId="0" xfId="0" applyNumberFormat="1"/>
    <xf numFmtId="165" fontId="0" fillId="0" borderId="0" xfId="0" applyNumberFormat="1"/>
    <xf numFmtId="0" fontId="3" fillId="2" borderId="2" xfId="0" applyFont="1" applyFill="1" applyBorder="1" applyAlignment="1">
      <alignment horizontal="center"/>
    </xf>
    <xf numFmtId="1" fontId="0" fillId="0" borderId="3" xfId="0" applyNumberFormat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5" xfId="0" applyBorder="1" applyAlignment="1">
      <alignment horizontal="center"/>
    </xf>
    <xf numFmtId="1" fontId="0" fillId="0" borderId="6" xfId="0" applyNumberFormat="1" applyBorder="1" applyAlignment="1">
      <alignment horizontal="center"/>
    </xf>
    <xf numFmtId="1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1" fontId="0" fillId="0" borderId="10" xfId="0" applyNumberFormat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3" fillId="0" borderId="10" xfId="0" applyNumberFormat="1" applyFont="1" applyBorder="1" applyAlignment="1">
      <alignment horizontal="center"/>
    </xf>
    <xf numFmtId="1" fontId="3" fillId="0" borderId="11" xfId="0" applyNumberFormat="1" applyFont="1" applyBorder="1" applyAlignment="1">
      <alignment horizontal="center"/>
    </xf>
    <xf numFmtId="1" fontId="0" fillId="0" borderId="6" xfId="2" applyNumberFormat="1" applyFont="1" applyBorder="1" applyAlignment="1">
      <alignment horizontal="center"/>
    </xf>
    <xf numFmtId="1" fontId="0" fillId="0" borderId="7" xfId="2" applyNumberFormat="1" applyFont="1" applyBorder="1" applyAlignment="1">
      <alignment horizontal="center"/>
    </xf>
    <xf numFmtId="1" fontId="0" fillId="0" borderId="0" xfId="2" applyNumberFormat="1" applyFont="1" applyBorder="1" applyAlignment="1">
      <alignment horizontal="center"/>
    </xf>
    <xf numFmtId="1" fontId="0" fillId="0" borderId="12" xfId="2" applyNumberFormat="1" applyFont="1" applyBorder="1" applyAlignment="1">
      <alignment horizontal="center"/>
    </xf>
    <xf numFmtId="1" fontId="0" fillId="0" borderId="12" xfId="0" applyNumberForma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1" fontId="3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12" xfId="0" applyBorder="1" applyAlignment="1">
      <alignment horizontal="center"/>
    </xf>
    <xf numFmtId="42" fontId="3" fillId="0" borderId="10" xfId="2" applyFon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0" fontId="3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3" fillId="0" borderId="15" xfId="0" applyFont="1" applyBorder="1" applyAlignment="1">
      <alignment horizontal="center"/>
    </xf>
  </cellXfs>
  <cellStyles count="3">
    <cellStyle name="Moneda [0]" xfId="2" builtinId="7"/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zam" refreshedDate="46014.673100231485" createdVersion="8" refreshedVersion="8" minRefreshableVersion="3" recordCount="16" xr:uid="{31638E52-55BA-43B1-BCA9-CC25E1A63F37}">
  <cacheSource type="worksheet">
    <worksheetSource ref="A1:I17" sheet="Plan_Diario"/>
  </cacheSource>
  <cacheFields count="9">
    <cacheField name="tecnico" numFmtId="0">
      <sharedItems/>
    </cacheField>
    <cacheField name="dia" numFmtId="0">
      <sharedItems containsSemiMixedTypes="0" containsString="0" containsNumber="1" containsInteger="1" minValue="1" maxValue="7"/>
    </cacheField>
    <cacheField name="ciudad_trabajo" numFmtId="0">
      <sharedItems count="3">
        <s v="Chillán"/>
        <s v="Santiago"/>
        <s v="Antofagasta"/>
      </sharedItems>
    </cacheField>
    <cacheField name="horas_instal" numFmtId="0">
      <sharedItems containsSemiMixedTypes="0" containsString="0" containsNumber="1" minValue="1.5" maxValue="4.5"/>
    </cacheField>
    <cacheField name="gps_inst" numFmtId="0">
      <sharedItems containsSemiMixedTypes="0" containsString="0" containsNumber="1" containsInteger="1" minValue="1" maxValue="3"/>
    </cacheField>
    <cacheField name="viaje_modo_manana" numFmtId="0">
      <sharedItems containsBlank="1"/>
    </cacheField>
    <cacheField name="viaje_h_manana" numFmtId="0">
      <sharedItems containsSemiMixedTypes="0" containsString="0" containsNumber="1" containsInteger="1" minValue="0" maxValue="0"/>
    </cacheField>
    <cacheField name="duerme_en" numFmtId="0">
      <sharedItems/>
    </cacheField>
    <cacheField name="nota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s v="Jimmy"/>
    <n v="1"/>
    <x v="0"/>
    <n v="4.5"/>
    <n v="3"/>
    <s v="terrestre"/>
    <n v="0"/>
    <s v="Chillán"/>
    <m/>
  </r>
  <r>
    <s v="Jimmy"/>
    <n v="2"/>
    <x v="0"/>
    <n v="4.5"/>
    <n v="3"/>
    <m/>
    <n v="0"/>
    <s v="Chillán"/>
    <m/>
  </r>
  <r>
    <s v="Jimmy"/>
    <n v="3"/>
    <x v="0"/>
    <n v="4.5"/>
    <n v="3"/>
    <m/>
    <n v="0"/>
    <s v="Chillán"/>
    <m/>
  </r>
  <r>
    <s v="Jimmy"/>
    <n v="4"/>
    <x v="0"/>
    <n v="4.5"/>
    <n v="3"/>
    <m/>
    <n v="0"/>
    <s v="Chillán"/>
    <m/>
  </r>
  <r>
    <s v="Luis"/>
    <n v="1"/>
    <x v="1"/>
    <n v="4.5"/>
    <n v="3"/>
    <s v="terrestre"/>
    <n v="0"/>
    <s v="Santiago"/>
    <m/>
  </r>
  <r>
    <s v="Luis"/>
    <n v="2"/>
    <x v="1"/>
    <n v="4.5"/>
    <n v="3"/>
    <m/>
    <n v="0"/>
    <s v="Santiago"/>
    <m/>
  </r>
  <r>
    <s v="Luis"/>
    <n v="3"/>
    <x v="1"/>
    <n v="4.5"/>
    <n v="3"/>
    <m/>
    <n v="0"/>
    <s v="Santiago"/>
    <m/>
  </r>
  <r>
    <s v="Luis"/>
    <n v="4"/>
    <x v="1"/>
    <n v="4.5"/>
    <n v="3"/>
    <m/>
    <n v="0"/>
    <s v="Santiago"/>
    <m/>
  </r>
  <r>
    <s v="Luis"/>
    <n v="5"/>
    <x v="1"/>
    <n v="4.5"/>
    <n v="3"/>
    <m/>
    <n v="0"/>
    <s v="Santiago"/>
    <m/>
  </r>
  <r>
    <s v="Luis"/>
    <n v="6"/>
    <x v="1"/>
    <n v="4.5"/>
    <n v="3"/>
    <m/>
    <n v="0"/>
    <s v="Santiago"/>
    <m/>
  </r>
  <r>
    <s v="Luis"/>
    <n v="7"/>
    <x v="1"/>
    <n v="1.5"/>
    <n v="1"/>
    <m/>
    <n v="0"/>
    <s v="Santiago"/>
    <m/>
  </r>
  <r>
    <s v="Orlando"/>
    <n v="1"/>
    <x v="2"/>
    <n v="4.5"/>
    <n v="3"/>
    <s v="terrestre"/>
    <n v="0"/>
    <s v="Antofagasta"/>
    <m/>
  </r>
  <r>
    <s v="Orlando"/>
    <n v="2"/>
    <x v="2"/>
    <n v="4.5"/>
    <n v="3"/>
    <m/>
    <n v="0"/>
    <s v="Antofagasta"/>
    <m/>
  </r>
  <r>
    <s v="Orlando"/>
    <n v="3"/>
    <x v="2"/>
    <n v="4.5"/>
    <n v="3"/>
    <m/>
    <n v="0"/>
    <s v="Antofagasta"/>
    <m/>
  </r>
  <r>
    <s v="Orlando"/>
    <n v="4"/>
    <x v="2"/>
    <n v="4.5"/>
    <n v="3"/>
    <m/>
    <n v="0"/>
    <s v="Antofagasta"/>
    <m/>
  </r>
  <r>
    <s v="Orlando"/>
    <n v="5"/>
    <x v="2"/>
    <n v="1.5"/>
    <n v="1"/>
    <m/>
    <n v="0"/>
    <s v="Antofagasta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E3998B-9724-4DC6-93F1-A4FF7381921B}" name="TablaDinámica2" cacheId="3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/>
  <pivotFields count="9">
    <pivotField showAll="0"/>
    <pivotField dataField="1"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dia" fld="1" subtotal="countNums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47"/>
  <sheetViews>
    <sheetView tabSelected="1" zoomScale="85" zoomScaleNormal="85" workbookViewId="0">
      <selection activeCell="I42" sqref="I42"/>
    </sheetView>
  </sheetViews>
  <sheetFormatPr baseColWidth="10" defaultColWidth="11.3984375" defaultRowHeight="14.25" x14ac:dyDescent="0.45"/>
  <cols>
    <col min="1" max="1" width="11.796875" bestFit="1" customWidth="1"/>
    <col min="2" max="2" width="7.19921875" bestFit="1" customWidth="1"/>
    <col min="3" max="3" width="20.9296875" bestFit="1" customWidth="1"/>
    <col min="4" max="4" width="13.19921875" bestFit="1" customWidth="1"/>
    <col min="5" max="5" width="11.73046875" bestFit="1" customWidth="1"/>
    <col min="6" max="6" width="9.73046875" bestFit="1" customWidth="1"/>
    <col min="7" max="7" width="6.6640625" bestFit="1" customWidth="1"/>
    <col min="8" max="8" width="6.46484375" bestFit="1" customWidth="1"/>
    <col min="9" max="9" width="15.59765625" bestFit="1" customWidth="1"/>
    <col min="10" max="10" width="12" bestFit="1" customWidth="1"/>
    <col min="11" max="11" width="5.9296875" bestFit="1" customWidth="1"/>
    <col min="12" max="12" width="14.46484375" bestFit="1" customWidth="1"/>
    <col min="13" max="13" width="11.73046875" bestFit="1" customWidth="1"/>
    <col min="14" max="14" width="12.06640625" bestFit="1" customWidth="1"/>
    <col min="15" max="15" width="14.6640625" bestFit="1" customWidth="1"/>
    <col min="16" max="16" width="6.53125" bestFit="1" customWidth="1"/>
    <col min="17" max="17" width="12.86328125" bestFit="1" customWidth="1"/>
    <col min="18" max="18" width="7.53125" bestFit="1" customWidth="1"/>
    <col min="19" max="19" width="12.59765625" bestFit="1" customWidth="1"/>
    <col min="20" max="20" width="15.53125" bestFit="1" customWidth="1"/>
    <col min="21" max="21" width="10" bestFit="1" customWidth="1"/>
    <col min="22" max="22" width="9.59765625" bestFit="1" customWidth="1"/>
    <col min="23" max="23" width="13.86328125" bestFit="1" customWidth="1"/>
  </cols>
  <sheetData>
    <row r="1" spans="1:23" x14ac:dyDescent="0.45">
      <c r="A1" s="1" t="s">
        <v>2</v>
      </c>
      <c r="B1" s="1" t="s">
        <v>52</v>
      </c>
      <c r="C1" s="1" t="s">
        <v>55</v>
      </c>
      <c r="D1" s="1" t="s">
        <v>0</v>
      </c>
      <c r="E1" s="1" t="s">
        <v>3</v>
      </c>
      <c r="F1" s="2" t="s">
        <v>36</v>
      </c>
      <c r="G1" s="2" t="s">
        <v>37</v>
      </c>
      <c r="H1" s="2" t="s">
        <v>38</v>
      </c>
      <c r="I1" s="2" t="s">
        <v>39</v>
      </c>
      <c r="J1" s="2" t="s">
        <v>40</v>
      </c>
      <c r="K1" s="2" t="s">
        <v>41</v>
      </c>
      <c r="L1" s="2" t="s">
        <v>42</v>
      </c>
      <c r="M1" s="3" t="s">
        <v>43</v>
      </c>
      <c r="N1" s="13" t="s">
        <v>4</v>
      </c>
      <c r="O1" s="13" t="s">
        <v>5</v>
      </c>
      <c r="P1" s="13" t="s">
        <v>6</v>
      </c>
      <c r="Q1" s="4" t="s">
        <v>44</v>
      </c>
      <c r="R1" s="5" t="s">
        <v>7</v>
      </c>
      <c r="S1" s="5" t="s">
        <v>45</v>
      </c>
      <c r="T1" s="6" t="s">
        <v>47</v>
      </c>
      <c r="U1" s="7" t="s">
        <v>48</v>
      </c>
      <c r="V1" s="1" t="s">
        <v>46</v>
      </c>
      <c r="W1" s="1" t="s">
        <v>8</v>
      </c>
    </row>
    <row r="2" spans="1:23" x14ac:dyDescent="0.45">
      <c r="A2" t="s">
        <v>9</v>
      </c>
      <c r="B2" t="s">
        <v>53</v>
      </c>
      <c r="C2" t="s">
        <v>59</v>
      </c>
      <c r="D2">
        <f>E2+N2</f>
        <v>14</v>
      </c>
      <c r="E2">
        <v>14</v>
      </c>
      <c r="F2" s="8">
        <f>E2/SUM($E$2:$E$16)</f>
        <v>0.15217391304347827</v>
      </c>
      <c r="G2" s="12">
        <f>31*570*E2/39500</f>
        <v>6.2627848101265826</v>
      </c>
      <c r="H2" s="14">
        <f>580000*0.75*F2*3/39500</f>
        <v>5.0275178866263079</v>
      </c>
      <c r="I2" s="12">
        <f>4*20000/39500</f>
        <v>2.0253164556962027</v>
      </c>
      <c r="J2" s="12">
        <f>4*1.1</f>
        <v>4.4000000000000004</v>
      </c>
      <c r="K2" s="12">
        <f>(164*0.03/10)+5755/39500</f>
        <v>0.6376962025316455</v>
      </c>
      <c r="L2" s="12">
        <f>4*(5000/39500)</f>
        <v>0.50632911392405067</v>
      </c>
      <c r="M2" s="11">
        <f>SUM(L2+K2+J2+I2+H2+G2)</f>
        <v>18.85964446890479</v>
      </c>
      <c r="N2">
        <v>0</v>
      </c>
      <c r="O2">
        <v>2</v>
      </c>
      <c r="P2">
        <f>O2*N2</f>
        <v>0</v>
      </c>
      <c r="Q2" s="12">
        <f>P2</f>
        <v>0</v>
      </c>
      <c r="R2" s="12">
        <v>0</v>
      </c>
      <c r="S2">
        <f>0.2*D2</f>
        <v>2.8000000000000003</v>
      </c>
      <c r="T2" s="12">
        <f>S2+Q2+M2</f>
        <v>21.659644468904791</v>
      </c>
      <c r="U2" s="12">
        <f>T2*1.1</f>
        <v>23.825608915795272</v>
      </c>
      <c r="V2">
        <v>28.14</v>
      </c>
      <c r="W2">
        <v>59.284303797468347</v>
      </c>
    </row>
    <row r="3" spans="1:23" x14ac:dyDescent="0.45">
      <c r="A3" t="s">
        <v>10</v>
      </c>
      <c r="B3" t="s">
        <v>53</v>
      </c>
      <c r="C3" t="s">
        <v>62</v>
      </c>
      <c r="D3">
        <f t="shared" ref="D3:D16" si="0">E3+N3</f>
        <v>9</v>
      </c>
      <c r="E3">
        <v>9</v>
      </c>
      <c r="F3" s="8">
        <f t="shared" ref="F3:F16" si="1">E3/SUM($E$2:$E$16)</f>
        <v>9.7826086956521743E-2</v>
      </c>
      <c r="G3" s="12">
        <f t="shared" ref="G3:G16" si="2">31*570*E3/39500</f>
        <v>4.0260759493670886</v>
      </c>
      <c r="H3" s="14">
        <f t="shared" ref="H3:H16" si="3">580000*0.75*F3*3/39500</f>
        <v>3.2319757842597689</v>
      </c>
      <c r="I3" s="12">
        <f>2*20000/39500</f>
        <v>1.0126582278481013</v>
      </c>
      <c r="J3" s="12">
        <f>2*1.1</f>
        <v>2.2000000000000002</v>
      </c>
      <c r="K3" s="12">
        <f>(66*0.03/10)+2318/39500</f>
        <v>0.25668354430379747</v>
      </c>
      <c r="L3" s="12">
        <f>2*(5000/39500)</f>
        <v>0.25316455696202533</v>
      </c>
      <c r="M3" s="11">
        <f t="shared" ref="M3:M16" si="4">SUM(L3+K3+J3+I3+H3+G3)</f>
        <v>10.980558062740782</v>
      </c>
      <c r="N3">
        <v>0</v>
      </c>
      <c r="O3">
        <v>2</v>
      </c>
      <c r="P3">
        <f t="shared" ref="P3:P16" si="5">O3*N3</f>
        <v>0</v>
      </c>
      <c r="Q3" s="12">
        <f>P3</f>
        <v>0</v>
      </c>
      <c r="R3" s="12">
        <v>0</v>
      </c>
      <c r="S3">
        <f t="shared" ref="S3:S16" si="6">0.2*D3</f>
        <v>1.8</v>
      </c>
      <c r="T3" s="12">
        <f t="shared" ref="T3:T16" si="7">S3+Q3+M3</f>
        <v>12.780558062740782</v>
      </c>
      <c r="U3" s="12">
        <f t="shared" ref="U3:U16" si="8">T3*1.1</f>
        <v>14.058613869014861</v>
      </c>
      <c r="V3">
        <v>18.09</v>
      </c>
      <c r="W3">
        <v>38.243569620253162</v>
      </c>
    </row>
    <row r="4" spans="1:23" x14ac:dyDescent="0.45">
      <c r="A4" t="s">
        <v>11</v>
      </c>
      <c r="B4" t="s">
        <v>53</v>
      </c>
      <c r="C4" t="s">
        <v>56</v>
      </c>
      <c r="D4">
        <f t="shared" si="0"/>
        <v>19</v>
      </c>
      <c r="E4">
        <v>19</v>
      </c>
      <c r="F4" s="8">
        <f t="shared" si="1"/>
        <v>0.20652173913043478</v>
      </c>
      <c r="G4" s="12">
        <f t="shared" si="2"/>
        <v>8.4994936708860767</v>
      </c>
      <c r="H4" s="14">
        <f t="shared" si="3"/>
        <v>6.8230599889928456</v>
      </c>
      <c r="I4" s="12">
        <f>5*20000/39500</f>
        <v>2.5316455696202533</v>
      </c>
      <c r="J4" s="12">
        <v>0</v>
      </c>
      <c r="K4" s="12">
        <f>((257*0.03/10)+13000/39500)</f>
        <v>1.1001139240506328</v>
      </c>
      <c r="L4" s="12">
        <f>5*(5000/39500)</f>
        <v>0.63291139240506333</v>
      </c>
      <c r="M4" s="11">
        <f t="shared" si="4"/>
        <v>19.587224545954872</v>
      </c>
      <c r="N4">
        <v>0</v>
      </c>
      <c r="O4">
        <v>2</v>
      </c>
      <c r="P4">
        <f t="shared" si="5"/>
        <v>0</v>
      </c>
      <c r="Q4" s="12">
        <f>P4+R4</f>
        <v>0</v>
      </c>
      <c r="R4" s="12">
        <v>0</v>
      </c>
      <c r="S4">
        <f t="shared" si="6"/>
        <v>3.8000000000000003</v>
      </c>
      <c r="T4" s="12">
        <f t="shared" si="7"/>
        <v>23.387224545954872</v>
      </c>
      <c r="U4" s="12">
        <f t="shared" si="8"/>
        <v>25.725947000550363</v>
      </c>
      <c r="V4">
        <v>38.19</v>
      </c>
      <c r="W4">
        <v>38.19</v>
      </c>
    </row>
    <row r="5" spans="1:23" x14ac:dyDescent="0.45">
      <c r="A5" t="s">
        <v>12</v>
      </c>
      <c r="B5" t="s">
        <v>54</v>
      </c>
      <c r="D5">
        <f t="shared" si="0"/>
        <v>8</v>
      </c>
      <c r="E5">
        <v>0</v>
      </c>
      <c r="F5" s="8">
        <f t="shared" si="1"/>
        <v>0</v>
      </c>
      <c r="G5" s="12">
        <f t="shared" si="2"/>
        <v>0</v>
      </c>
      <c r="H5" s="14">
        <f t="shared" si="3"/>
        <v>0</v>
      </c>
      <c r="I5" s="12">
        <f>IFERROR(VLOOKUP(A5,Hoja1!A:B,2,0)*(20000/39500),0)</f>
        <v>0</v>
      </c>
      <c r="J5" s="12">
        <f>IFERROR(VLOOKUP(A5,Hoja1!A:B,2,0)*1.1,0)</f>
        <v>0</v>
      </c>
      <c r="K5" s="12">
        <v>0</v>
      </c>
      <c r="L5" s="12">
        <f>IFERROR(VLOOKUP(A5,Hoja1!A:B,2,0)*(5000/39500),0)</f>
        <v>0</v>
      </c>
      <c r="M5" s="11">
        <f t="shared" si="4"/>
        <v>0</v>
      </c>
      <c r="N5">
        <v>8</v>
      </c>
      <c r="O5">
        <v>1.5</v>
      </c>
      <c r="P5">
        <f t="shared" si="5"/>
        <v>12</v>
      </c>
      <c r="Q5" s="12">
        <f>P5+R5</f>
        <v>12.368151898734178</v>
      </c>
      <c r="R5" s="12">
        <v>0.3681518987341772</v>
      </c>
      <c r="S5">
        <f t="shared" si="6"/>
        <v>1.6</v>
      </c>
      <c r="T5" s="12">
        <f t="shared" si="7"/>
        <v>13.968151898734178</v>
      </c>
      <c r="U5" s="12">
        <f t="shared" si="8"/>
        <v>15.364967088607596</v>
      </c>
      <c r="V5">
        <v>16.079999999999998</v>
      </c>
      <c r="W5">
        <v>34.048151898734183</v>
      </c>
    </row>
    <row r="6" spans="1:23" x14ac:dyDescent="0.45">
      <c r="A6" t="s">
        <v>13</v>
      </c>
      <c r="B6" t="s">
        <v>53</v>
      </c>
      <c r="C6" t="s">
        <v>57</v>
      </c>
      <c r="D6">
        <f t="shared" si="0"/>
        <v>13</v>
      </c>
      <c r="E6">
        <v>13</v>
      </c>
      <c r="F6" s="8">
        <f t="shared" si="1"/>
        <v>0.14130434782608695</v>
      </c>
      <c r="G6" s="12">
        <f t="shared" si="2"/>
        <v>5.815443037974684</v>
      </c>
      <c r="H6" s="14">
        <f t="shared" si="3"/>
        <v>4.6684094661529993</v>
      </c>
      <c r="I6" s="12">
        <f>4*20000/39500</f>
        <v>2.0253164556962027</v>
      </c>
      <c r="J6" s="12">
        <f>4*1.1</f>
        <v>4.4000000000000004</v>
      </c>
      <c r="K6" s="12">
        <f>(((216/10)*0.03)+0.2)*2</f>
        <v>1.6960000000000002</v>
      </c>
      <c r="L6" s="12">
        <f>4*(5000/39500)</f>
        <v>0.50632911392405067</v>
      </c>
      <c r="M6" s="11">
        <f>SUM(L6+K6+J6+I6+H6+G6)+R6</f>
        <v>20.611498073747939</v>
      </c>
      <c r="N6">
        <v>0</v>
      </c>
      <c r="O6">
        <v>2</v>
      </c>
      <c r="P6">
        <f t="shared" si="5"/>
        <v>0</v>
      </c>
      <c r="Q6" s="12">
        <f>P6</f>
        <v>0</v>
      </c>
      <c r="R6" s="12">
        <v>1.5</v>
      </c>
      <c r="S6">
        <f t="shared" si="6"/>
        <v>2.6</v>
      </c>
      <c r="T6" s="12">
        <f t="shared" si="7"/>
        <v>23.21149807374794</v>
      </c>
      <c r="U6" s="12">
        <f t="shared" si="8"/>
        <v>25.532647881122735</v>
      </c>
      <c r="V6">
        <v>26.13</v>
      </c>
      <c r="W6">
        <v>26.13</v>
      </c>
    </row>
    <row r="7" spans="1:23" x14ac:dyDescent="0.45">
      <c r="A7" t="s">
        <v>14</v>
      </c>
      <c r="B7" t="s">
        <v>53</v>
      </c>
      <c r="C7" t="s">
        <v>60</v>
      </c>
      <c r="D7">
        <f t="shared" si="0"/>
        <v>6</v>
      </c>
      <c r="E7">
        <v>6</v>
      </c>
      <c r="F7" s="8">
        <f t="shared" si="1"/>
        <v>6.5217391304347824E-2</v>
      </c>
      <c r="G7" s="12">
        <f t="shared" si="2"/>
        <v>2.6840506329113922</v>
      </c>
      <c r="H7" s="14">
        <f t="shared" si="3"/>
        <v>2.1546505228398463</v>
      </c>
      <c r="I7" s="12">
        <f>2*20000/39500</f>
        <v>1.0126582278481013</v>
      </c>
      <c r="J7" s="12">
        <f>2*1.1</f>
        <v>2.2000000000000002</v>
      </c>
      <c r="K7" s="12">
        <f>(354*0.03/10)+12350/39500</f>
        <v>1.374658227848101</v>
      </c>
      <c r="L7" s="12">
        <f>2*(5000/39500)</f>
        <v>0.25316455696202533</v>
      </c>
      <c r="M7" s="11">
        <f t="shared" si="4"/>
        <v>9.6791821684094668</v>
      </c>
      <c r="N7">
        <v>0</v>
      </c>
      <c r="O7">
        <v>2</v>
      </c>
      <c r="P7">
        <f t="shared" si="5"/>
        <v>0</v>
      </c>
      <c r="Q7" s="12">
        <f>P7+R7</f>
        <v>0</v>
      </c>
      <c r="R7" s="12">
        <v>0</v>
      </c>
      <c r="S7">
        <f t="shared" si="6"/>
        <v>1.2000000000000002</v>
      </c>
      <c r="T7" s="12">
        <f t="shared" si="7"/>
        <v>10.879182168409468</v>
      </c>
      <c r="U7" s="12">
        <f t="shared" si="8"/>
        <v>11.967100385250415</v>
      </c>
      <c r="V7">
        <v>12.06</v>
      </c>
      <c r="W7">
        <v>25.677063291139241</v>
      </c>
    </row>
    <row r="8" spans="1:23" x14ac:dyDescent="0.45">
      <c r="A8" t="s">
        <v>15</v>
      </c>
      <c r="B8" t="s">
        <v>54</v>
      </c>
      <c r="D8">
        <f t="shared" si="0"/>
        <v>6</v>
      </c>
      <c r="E8">
        <v>0</v>
      </c>
      <c r="F8" s="8">
        <f t="shared" si="1"/>
        <v>0</v>
      </c>
      <c r="G8" s="12">
        <f t="shared" si="2"/>
        <v>0</v>
      </c>
      <c r="H8" s="14">
        <f t="shared" si="3"/>
        <v>0</v>
      </c>
      <c r="I8" s="12">
        <f>IFERROR(VLOOKUP(A8,Hoja1!A:B,2,0)*(20000/39500),0)</f>
        <v>0</v>
      </c>
      <c r="J8" s="12">
        <f>IFERROR(VLOOKUP(A8,Hoja1!A:B,2,0)*1.1,0)</f>
        <v>0</v>
      </c>
      <c r="K8" s="12">
        <v>0</v>
      </c>
      <c r="L8" s="12">
        <f>IFERROR(VLOOKUP(A8,Hoja1!A:B,2,0)*(5000/39500),0)</f>
        <v>0</v>
      </c>
      <c r="M8" s="11">
        <f t="shared" si="4"/>
        <v>0</v>
      </c>
      <c r="N8">
        <v>6</v>
      </c>
      <c r="O8">
        <v>1.5</v>
      </c>
      <c r="P8">
        <f t="shared" si="5"/>
        <v>9</v>
      </c>
      <c r="Q8" s="12">
        <f>P8+R8</f>
        <v>9.3681518987341779</v>
      </c>
      <c r="R8" s="12">
        <v>0.3681518987341772</v>
      </c>
      <c r="S8">
        <f t="shared" si="6"/>
        <v>1.2000000000000002</v>
      </c>
      <c r="T8" s="12">
        <f t="shared" si="7"/>
        <v>10.568151898734179</v>
      </c>
      <c r="U8" s="12">
        <f t="shared" si="8"/>
        <v>11.624967088607598</v>
      </c>
      <c r="V8">
        <v>12.06</v>
      </c>
      <c r="W8">
        <v>25.628151898734181</v>
      </c>
    </row>
    <row r="9" spans="1:23" x14ac:dyDescent="0.45">
      <c r="A9" t="s">
        <v>16</v>
      </c>
      <c r="B9" t="s">
        <v>54</v>
      </c>
      <c r="D9">
        <f t="shared" si="0"/>
        <v>6</v>
      </c>
      <c r="E9">
        <v>0</v>
      </c>
      <c r="F9" s="8">
        <f t="shared" si="1"/>
        <v>0</v>
      </c>
      <c r="G9" s="12">
        <f t="shared" si="2"/>
        <v>0</v>
      </c>
      <c r="H9" s="14">
        <f t="shared" si="3"/>
        <v>0</v>
      </c>
      <c r="I9" s="12">
        <f>IFERROR(VLOOKUP(A9,Hoja1!A:B,2,0)*(20000/39500),0)</f>
        <v>0</v>
      </c>
      <c r="J9" s="12">
        <f>IFERROR(VLOOKUP(A9,Hoja1!A:B,2,0)*1.1,0)</f>
        <v>0</v>
      </c>
      <c r="K9" s="12">
        <v>0</v>
      </c>
      <c r="L9" s="12">
        <f>IFERROR(VLOOKUP(A9,Hoja1!A:B,2,0)*(5000/39500),0)</f>
        <v>0</v>
      </c>
      <c r="M9" s="11">
        <f t="shared" si="4"/>
        <v>0</v>
      </c>
      <c r="N9">
        <v>6</v>
      </c>
      <c r="O9">
        <v>2</v>
      </c>
      <c r="P9">
        <f t="shared" si="5"/>
        <v>12</v>
      </c>
      <c r="Q9" s="12">
        <f>P9+R9</f>
        <v>12.358987341772153</v>
      </c>
      <c r="R9" s="12">
        <v>0.35898734177215191</v>
      </c>
      <c r="S9">
        <f t="shared" si="6"/>
        <v>1.2000000000000002</v>
      </c>
      <c r="T9" s="12">
        <f t="shared" si="7"/>
        <v>13.558987341772152</v>
      </c>
      <c r="U9" s="12">
        <f t="shared" si="8"/>
        <v>14.914886075949369</v>
      </c>
      <c r="V9">
        <v>12.06</v>
      </c>
      <c r="W9">
        <v>25.618987341772151</v>
      </c>
    </row>
    <row r="10" spans="1:23" x14ac:dyDescent="0.45">
      <c r="A10" t="s">
        <v>17</v>
      </c>
      <c r="B10" t="s">
        <v>53</v>
      </c>
      <c r="C10" t="s">
        <v>56</v>
      </c>
      <c r="D10">
        <f t="shared" si="0"/>
        <v>12</v>
      </c>
      <c r="E10">
        <v>12</v>
      </c>
      <c r="F10" s="8">
        <f t="shared" si="1"/>
        <v>0.13043478260869565</v>
      </c>
      <c r="G10" s="12">
        <f t="shared" si="2"/>
        <v>5.3681012658227845</v>
      </c>
      <c r="H10" s="14">
        <f t="shared" si="3"/>
        <v>4.3093010456796925</v>
      </c>
      <c r="I10" s="12">
        <f>3*20000/39500</f>
        <v>1.518987341772152</v>
      </c>
      <c r="J10" s="12">
        <v>0</v>
      </c>
      <c r="K10" s="12">
        <f>(631*0.03/10)+22096/39500</f>
        <v>2.452392405063291</v>
      </c>
      <c r="L10" s="12">
        <f>3*(5000/39500)</f>
        <v>0.379746835443038</v>
      </c>
      <c r="M10" s="11">
        <f>SUM(L10+K10+J10+I10+H10+G10)+R10</f>
        <v>14.428528893780959</v>
      </c>
      <c r="N10">
        <v>0</v>
      </c>
      <c r="O10">
        <v>2</v>
      </c>
      <c r="P10">
        <f t="shared" si="5"/>
        <v>0</v>
      </c>
      <c r="Q10" s="12">
        <f>P10</f>
        <v>0</v>
      </c>
      <c r="R10" s="12">
        <v>0.4</v>
      </c>
      <c r="S10">
        <f t="shared" si="6"/>
        <v>2.4000000000000004</v>
      </c>
      <c r="T10" s="12">
        <f t="shared" si="7"/>
        <v>16.828528893780959</v>
      </c>
      <c r="U10" s="12">
        <f t="shared" si="8"/>
        <v>18.511381783159056</v>
      </c>
      <c r="V10">
        <v>24.12</v>
      </c>
      <c r="W10">
        <v>24.12</v>
      </c>
    </row>
    <row r="11" spans="1:23" x14ac:dyDescent="0.45">
      <c r="A11" t="s">
        <v>18</v>
      </c>
      <c r="B11" t="s">
        <v>54</v>
      </c>
      <c r="D11">
        <f t="shared" si="0"/>
        <v>5</v>
      </c>
      <c r="E11">
        <v>0</v>
      </c>
      <c r="F11" s="8">
        <f t="shared" si="1"/>
        <v>0</v>
      </c>
      <c r="G11" s="12">
        <f t="shared" si="2"/>
        <v>0</v>
      </c>
      <c r="H11" s="14">
        <f t="shared" si="3"/>
        <v>0</v>
      </c>
      <c r="I11" s="12">
        <f>IFERROR(VLOOKUP(A11,Hoja1!A:B,2,0)*(20000/39500),0)</f>
        <v>0</v>
      </c>
      <c r="J11" s="12">
        <f>IFERROR(VLOOKUP(A11,Hoja1!A:B,2,0)*1.1,0)</f>
        <v>0</v>
      </c>
      <c r="K11" s="12">
        <v>0</v>
      </c>
      <c r="L11" s="12">
        <f>IFERROR(VLOOKUP(A11,Hoja1!A:B,2,0)*(5000/39500),0)</f>
        <v>0</v>
      </c>
      <c r="M11" s="11">
        <f t="shared" si="4"/>
        <v>0</v>
      </c>
      <c r="N11">
        <v>5</v>
      </c>
      <c r="O11">
        <v>2</v>
      </c>
      <c r="P11">
        <f t="shared" si="5"/>
        <v>10</v>
      </c>
      <c r="Q11" s="12">
        <f>P11+R11</f>
        <v>10.417063291139241</v>
      </c>
      <c r="R11" s="12">
        <v>0.41706329113924051</v>
      </c>
      <c r="S11">
        <f t="shared" si="6"/>
        <v>1</v>
      </c>
      <c r="T11" s="12">
        <f t="shared" si="7"/>
        <v>11.417063291139241</v>
      </c>
      <c r="U11" s="12">
        <f t="shared" si="8"/>
        <v>12.558769620253166</v>
      </c>
      <c r="V11">
        <v>10.050000000000001</v>
      </c>
      <c r="W11">
        <v>21.46706329113924</v>
      </c>
    </row>
    <row r="12" spans="1:23" x14ac:dyDescent="0.45">
      <c r="A12" t="s">
        <v>19</v>
      </c>
      <c r="B12" t="s">
        <v>53</v>
      </c>
      <c r="C12" t="s">
        <v>63</v>
      </c>
      <c r="D12">
        <f t="shared" si="0"/>
        <v>5</v>
      </c>
      <c r="E12">
        <v>5</v>
      </c>
      <c r="F12" s="8">
        <f t="shared" si="1"/>
        <v>5.434782608695652E-2</v>
      </c>
      <c r="G12" s="12">
        <f t="shared" si="2"/>
        <v>2.2367088607594936</v>
      </c>
      <c r="H12" s="14">
        <f t="shared" si="3"/>
        <v>1.7955421023665386</v>
      </c>
      <c r="I12" s="12">
        <f>2*20000/39500</f>
        <v>1.0126582278481013</v>
      </c>
      <c r="J12" s="12">
        <f>2*1.1</f>
        <v>2.2000000000000002</v>
      </c>
      <c r="K12" s="12">
        <f>(195*0.03/10)+10081/39500</f>
        <v>0.8402151898734177</v>
      </c>
      <c r="L12" s="12">
        <f>2*(5000/39500)</f>
        <v>0.25316455696202533</v>
      </c>
      <c r="M12" s="11">
        <f>SUM(L12+K12+J12+I12+H12+G12)+R12</f>
        <v>8.3382889378095761</v>
      </c>
      <c r="N12">
        <v>0</v>
      </c>
      <c r="O12">
        <v>2</v>
      </c>
      <c r="P12">
        <f t="shared" si="5"/>
        <v>0</v>
      </c>
      <c r="Q12" s="12">
        <f>P12</f>
        <v>0</v>
      </c>
      <c r="R12" s="12">
        <v>0</v>
      </c>
      <c r="S12">
        <f t="shared" si="6"/>
        <v>1</v>
      </c>
      <c r="T12" s="12">
        <f t="shared" si="7"/>
        <v>9.3382889378095761</v>
      </c>
      <c r="U12" s="12">
        <f t="shared" si="8"/>
        <v>10.272117831590535</v>
      </c>
      <c r="V12">
        <v>10.050000000000001</v>
      </c>
      <c r="W12">
        <v>21.403569620253169</v>
      </c>
    </row>
    <row r="13" spans="1:23" x14ac:dyDescent="0.45">
      <c r="A13" t="s">
        <v>20</v>
      </c>
      <c r="B13" t="s">
        <v>53</v>
      </c>
      <c r="C13" t="s">
        <v>61</v>
      </c>
      <c r="D13">
        <f t="shared" si="0"/>
        <v>5</v>
      </c>
      <c r="E13">
        <v>5</v>
      </c>
      <c r="F13" s="8">
        <f t="shared" si="1"/>
        <v>5.434782608695652E-2</v>
      </c>
      <c r="G13" s="12">
        <f t="shared" si="2"/>
        <v>2.2367088607594936</v>
      </c>
      <c r="H13" s="14">
        <f t="shared" si="3"/>
        <v>1.7955421023665386</v>
      </c>
      <c r="I13" s="12">
        <f>2*20000/39500</f>
        <v>1.0126582278481013</v>
      </c>
      <c r="J13" s="12">
        <f>2*1.1</f>
        <v>2.2000000000000002</v>
      </c>
      <c r="K13" s="12">
        <f>(89*0.03/10)+7104/39500</f>
        <v>0.44684810126582281</v>
      </c>
      <c r="L13" s="12">
        <f>2*(5000/39500)</f>
        <v>0.25316455696202533</v>
      </c>
      <c r="M13" s="11">
        <f t="shared" si="4"/>
        <v>7.9449218492019824</v>
      </c>
      <c r="N13">
        <v>0</v>
      </c>
      <c r="O13">
        <v>2</v>
      </c>
      <c r="P13">
        <f t="shared" si="5"/>
        <v>0</v>
      </c>
      <c r="Q13" s="12">
        <f>P13</f>
        <v>0</v>
      </c>
      <c r="R13" s="12">
        <v>0</v>
      </c>
      <c r="S13">
        <f t="shared" si="6"/>
        <v>1</v>
      </c>
      <c r="T13" s="12">
        <f t="shared" si="7"/>
        <v>8.9449218492019824</v>
      </c>
      <c r="U13" s="12">
        <f t="shared" si="8"/>
        <v>9.8394140341221821</v>
      </c>
      <c r="V13">
        <v>10.050000000000001</v>
      </c>
      <c r="W13">
        <v>21.396810126582281</v>
      </c>
    </row>
    <row r="14" spans="1:23" x14ac:dyDescent="0.45">
      <c r="A14" t="s">
        <v>21</v>
      </c>
      <c r="B14" t="s">
        <v>53</v>
      </c>
      <c r="C14" t="s">
        <v>64</v>
      </c>
      <c r="D14">
        <f t="shared" si="0"/>
        <v>5</v>
      </c>
      <c r="E14">
        <v>5</v>
      </c>
      <c r="F14" s="8">
        <f t="shared" si="1"/>
        <v>5.434782608695652E-2</v>
      </c>
      <c r="G14" s="12">
        <f t="shared" si="2"/>
        <v>2.2367088607594936</v>
      </c>
      <c r="H14" s="14">
        <f t="shared" si="3"/>
        <v>1.7955421023665386</v>
      </c>
      <c r="I14" s="12">
        <f>2*20000/39500</f>
        <v>1.0126582278481013</v>
      </c>
      <c r="J14" s="12">
        <f>2*1.1</f>
        <v>2.2000000000000002</v>
      </c>
      <c r="K14" s="12">
        <f>+(120*0.03/10)+8210/39500</f>
        <v>0.56784810126582275</v>
      </c>
      <c r="L14" s="12">
        <f>2*(5000/39500)</f>
        <v>0.25316455696202533</v>
      </c>
      <c r="M14" s="11">
        <f t="shared" si="4"/>
        <v>8.0659218492019811</v>
      </c>
      <c r="N14">
        <v>0</v>
      </c>
      <c r="O14">
        <v>2</v>
      </c>
      <c r="P14">
        <f t="shared" si="5"/>
        <v>0</v>
      </c>
      <c r="Q14" s="12">
        <f>P14</f>
        <v>0</v>
      </c>
      <c r="R14" s="12">
        <v>0</v>
      </c>
      <c r="S14">
        <f t="shared" si="6"/>
        <v>1</v>
      </c>
      <c r="T14" s="12">
        <f t="shared" si="7"/>
        <v>9.0659218492019811</v>
      </c>
      <c r="U14" s="12">
        <f t="shared" si="8"/>
        <v>9.9725140341221792</v>
      </c>
      <c r="V14">
        <v>10.050000000000001</v>
      </c>
      <c r="W14">
        <v>21.396810126582281</v>
      </c>
    </row>
    <row r="15" spans="1:23" x14ac:dyDescent="0.45">
      <c r="A15" t="s">
        <v>22</v>
      </c>
      <c r="B15" t="s">
        <v>53</v>
      </c>
      <c r="C15" t="s">
        <v>58</v>
      </c>
      <c r="D15">
        <f t="shared" si="0"/>
        <v>4</v>
      </c>
      <c r="E15">
        <v>4</v>
      </c>
      <c r="F15" s="8">
        <f t="shared" si="1"/>
        <v>4.3478260869565216E-2</v>
      </c>
      <c r="G15" s="12">
        <f t="shared" si="2"/>
        <v>1.789367088607595</v>
      </c>
      <c r="H15" s="14">
        <f t="shared" si="3"/>
        <v>1.4364336818932306</v>
      </c>
      <c r="I15" s="12">
        <f>1*20000/39500</f>
        <v>0.50632911392405067</v>
      </c>
      <c r="J15" s="12">
        <f>1*1.1</f>
        <v>1.1000000000000001</v>
      </c>
      <c r="K15" s="12">
        <f>(113*0.03/10)+3986/39500</f>
        <v>0.43991139240506327</v>
      </c>
      <c r="L15" s="12">
        <f>1*(5000/39500)</f>
        <v>0.12658227848101267</v>
      </c>
      <c r="M15" s="11">
        <f t="shared" si="4"/>
        <v>5.3986235553109516</v>
      </c>
      <c r="N15">
        <v>0</v>
      </c>
      <c r="O15">
        <v>2</v>
      </c>
      <c r="P15">
        <f t="shared" si="5"/>
        <v>0</v>
      </c>
      <c r="Q15" s="12">
        <f>P15+R15</f>
        <v>0</v>
      </c>
      <c r="R15" s="12">
        <v>0</v>
      </c>
      <c r="S15">
        <f t="shared" si="6"/>
        <v>0.8</v>
      </c>
      <c r="T15" s="12">
        <f t="shared" si="7"/>
        <v>6.1986235553109514</v>
      </c>
      <c r="U15" s="12">
        <f t="shared" si="8"/>
        <v>6.818485910842047</v>
      </c>
      <c r="V15">
        <v>8.0399999999999991</v>
      </c>
      <c r="W15">
        <v>17.198987341772149</v>
      </c>
    </row>
    <row r="16" spans="1:23" x14ac:dyDescent="0.45">
      <c r="A16" t="s">
        <v>23</v>
      </c>
      <c r="B16" t="s">
        <v>54</v>
      </c>
      <c r="D16">
        <f t="shared" si="0"/>
        <v>4</v>
      </c>
      <c r="E16">
        <v>0</v>
      </c>
      <c r="F16" s="8">
        <f t="shared" si="1"/>
        <v>0</v>
      </c>
      <c r="G16" s="12">
        <f t="shared" si="2"/>
        <v>0</v>
      </c>
      <c r="H16" s="14">
        <f t="shared" si="3"/>
        <v>0</v>
      </c>
      <c r="I16" s="12">
        <f>IFERROR(VLOOKUP(A16,Hoja1!A:B,2,0)*(20000/39500),0)</f>
        <v>0</v>
      </c>
      <c r="J16" s="12">
        <f>IFERROR(VLOOKUP(A16,Hoja1!A:B,2,0)*1.1,0)</f>
        <v>0</v>
      </c>
      <c r="K16" s="12">
        <v>0</v>
      </c>
      <c r="L16" s="12">
        <f>IFERROR(VLOOKUP(A16,Hoja1!A:B,2,0)*(5000/39500),0)</f>
        <v>0</v>
      </c>
      <c r="M16" s="11">
        <f t="shared" si="4"/>
        <v>0</v>
      </c>
      <c r="N16">
        <v>4</v>
      </c>
      <c r="O16">
        <v>2</v>
      </c>
      <c r="P16">
        <f t="shared" si="5"/>
        <v>8</v>
      </c>
      <c r="Q16" s="12">
        <f>P16+R16</f>
        <v>8.3589873417721527</v>
      </c>
      <c r="R16" s="12">
        <v>0.35898734177215191</v>
      </c>
      <c r="S16">
        <f t="shared" si="6"/>
        <v>0.8</v>
      </c>
      <c r="T16" s="12">
        <f t="shared" si="7"/>
        <v>9.1589873417721535</v>
      </c>
      <c r="U16" s="12">
        <f t="shared" si="8"/>
        <v>10.074886075949369</v>
      </c>
      <c r="V16">
        <v>8.0399999999999991</v>
      </c>
      <c r="W16">
        <v>17.198987341772149</v>
      </c>
    </row>
    <row r="17" spans="3:22" x14ac:dyDescent="0.45"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</row>
    <row r="18" spans="3:22" x14ac:dyDescent="0.45"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</row>
    <row r="19" spans="3:22" x14ac:dyDescent="0.45">
      <c r="M19" s="16"/>
      <c r="T19" s="12"/>
    </row>
    <row r="20" spans="3:22" ht="14.65" thickBot="1" x14ac:dyDescent="0.5">
      <c r="T20" s="15"/>
    </row>
    <row r="21" spans="3:22" ht="14.65" thickBot="1" x14ac:dyDescent="0.5">
      <c r="C21" s="19" t="s">
        <v>91</v>
      </c>
      <c r="D21" s="20">
        <v>2026</v>
      </c>
      <c r="E21" s="20">
        <v>2027</v>
      </c>
      <c r="F21" s="21">
        <v>2028</v>
      </c>
      <c r="T21" s="17"/>
      <c r="U21" s="17"/>
    </row>
    <row r="22" spans="3:22" ht="14.65" thickBot="1" x14ac:dyDescent="0.5">
      <c r="C22" s="22"/>
      <c r="D22" s="23"/>
      <c r="E22" s="23"/>
      <c r="F22" s="23"/>
      <c r="I22" s="22" t="s">
        <v>86</v>
      </c>
      <c r="J22" s="22">
        <v>92</v>
      </c>
    </row>
    <row r="23" spans="3:22" x14ac:dyDescent="0.45">
      <c r="C23" s="47" t="s">
        <v>66</v>
      </c>
      <c r="D23" s="25">
        <f>0.6*$J$24*11</f>
        <v>798.59999999999991</v>
      </c>
      <c r="E23" s="25">
        <f>0.6*$J$24*12</f>
        <v>871.19999999999993</v>
      </c>
      <c r="F23" s="26">
        <f>0.6*$J$24*12</f>
        <v>871.19999999999993</v>
      </c>
      <c r="I23" s="22" t="s">
        <v>87</v>
      </c>
      <c r="J23" s="22">
        <v>29</v>
      </c>
      <c r="T23" s="12"/>
    </row>
    <row r="24" spans="3:22" ht="14.65" thickBot="1" x14ac:dyDescent="0.5">
      <c r="C24" s="49" t="s">
        <v>67</v>
      </c>
      <c r="D24" s="28">
        <f>1.5*SUM(D5:D16,D2:D3)+1*D4</f>
        <v>172</v>
      </c>
      <c r="E24" s="28" t="s">
        <v>68</v>
      </c>
      <c r="F24" s="29" t="s">
        <v>68</v>
      </c>
      <c r="I24" s="22" t="s">
        <v>88</v>
      </c>
      <c r="J24" s="22">
        <f>J23+J22</f>
        <v>121</v>
      </c>
      <c r="K24" s="17"/>
    </row>
    <row r="25" spans="3:22" ht="14.65" thickBot="1" x14ac:dyDescent="0.5">
      <c r="C25" s="50" t="s">
        <v>65</v>
      </c>
      <c r="D25" s="30">
        <f>SUM(D23:D24)</f>
        <v>970.59999999999991</v>
      </c>
      <c r="E25" s="30">
        <f>SUM(E23:E24)</f>
        <v>871.19999999999993</v>
      </c>
      <c r="F25" s="31">
        <f>SUM(F23:F24)</f>
        <v>871.19999999999993</v>
      </c>
      <c r="I25" s="22"/>
      <c r="J25" s="22"/>
    </row>
    <row r="26" spans="3:22" ht="14.65" thickBot="1" x14ac:dyDescent="0.5">
      <c r="C26" s="22"/>
      <c r="D26" s="23"/>
      <c r="E26" s="23"/>
      <c r="F26" s="23"/>
      <c r="I26" s="40"/>
      <c r="J26" s="40"/>
      <c r="L26" s="15"/>
    </row>
    <row r="27" spans="3:22" x14ac:dyDescent="0.45">
      <c r="C27" s="47" t="s">
        <v>69</v>
      </c>
      <c r="D27" s="25">
        <f>-SUM(G2:G16)</f>
        <v>-41.155443037974685</v>
      </c>
      <c r="E27" s="32" t="s">
        <v>68</v>
      </c>
      <c r="F27" s="33" t="s">
        <v>68</v>
      </c>
      <c r="I27" s="40"/>
      <c r="J27" s="40"/>
    </row>
    <row r="28" spans="3:22" x14ac:dyDescent="0.45">
      <c r="C28" s="48" t="s">
        <v>70</v>
      </c>
      <c r="D28" s="23">
        <f>-SUM(H2:H16)</f>
        <v>-33.037974683544306</v>
      </c>
      <c r="E28" s="34" t="s">
        <v>68</v>
      </c>
      <c r="F28" s="35" t="s">
        <v>68</v>
      </c>
      <c r="I28" s="22" t="s">
        <v>89</v>
      </c>
      <c r="J28" s="23">
        <v>10</v>
      </c>
      <c r="K28" s="15"/>
      <c r="L28" s="15"/>
      <c r="M28" s="15"/>
    </row>
    <row r="29" spans="3:22" x14ac:dyDescent="0.45">
      <c r="C29" s="48" t="s">
        <v>71</v>
      </c>
      <c r="D29" s="23">
        <f>-SUM(I2:I16)</f>
        <v>-13.670886075949369</v>
      </c>
      <c r="E29" s="34" t="s">
        <v>68</v>
      </c>
      <c r="F29" s="35" t="s">
        <v>68</v>
      </c>
      <c r="I29" s="22" t="s">
        <v>90</v>
      </c>
      <c r="J29" s="23">
        <v>5</v>
      </c>
      <c r="L29" s="15"/>
    </row>
    <row r="30" spans="3:22" x14ac:dyDescent="0.45">
      <c r="C30" s="48" t="s">
        <v>72</v>
      </c>
      <c r="D30" s="23">
        <f>-SUM(J2:J16)</f>
        <v>-20.9</v>
      </c>
      <c r="E30" s="34" t="s">
        <v>68</v>
      </c>
      <c r="F30" s="35" t="s">
        <v>68</v>
      </c>
      <c r="I30" s="22"/>
      <c r="J30" s="45"/>
      <c r="L30" s="16"/>
    </row>
    <row r="31" spans="3:22" x14ac:dyDescent="0.45">
      <c r="C31" s="48" t="s">
        <v>73</v>
      </c>
      <c r="D31" s="23">
        <f>-SUM(S2:S16)</f>
        <v>-24.200000000000003</v>
      </c>
      <c r="E31" s="23"/>
      <c r="F31" s="36"/>
      <c r="I31" s="22"/>
      <c r="J31" s="22"/>
      <c r="K31" s="16"/>
    </row>
    <row r="32" spans="3:22" x14ac:dyDescent="0.45">
      <c r="C32" s="48" t="s">
        <v>74</v>
      </c>
      <c r="D32" s="23">
        <f>-SUM(K2:K16)</f>
        <v>-9.8123670886075942</v>
      </c>
      <c r="E32" s="34" t="s">
        <v>68</v>
      </c>
      <c r="F32" s="35" t="s">
        <v>68</v>
      </c>
      <c r="I32" s="45" t="s">
        <v>96</v>
      </c>
      <c r="J32" s="46">
        <f>SUM(U2:U16)/J24</f>
        <v>1.8269612197928655</v>
      </c>
    </row>
    <row r="33" spans="3:12" x14ac:dyDescent="0.45">
      <c r="C33" s="48" t="s">
        <v>75</v>
      </c>
      <c r="D33" s="23">
        <f>-SUM(L2:L16)</f>
        <v>-3.4177215189873422</v>
      </c>
      <c r="E33" s="34" t="s">
        <v>68</v>
      </c>
      <c r="F33" s="35" t="s">
        <v>68</v>
      </c>
    </row>
    <row r="34" spans="3:12" x14ac:dyDescent="0.45">
      <c r="C34" s="48" t="s">
        <v>76</v>
      </c>
      <c r="D34" s="23">
        <f>-SUM(R2:R16)</f>
        <v>-3.7713417721518985</v>
      </c>
      <c r="E34" s="34" t="s">
        <v>68</v>
      </c>
      <c r="F34" s="35" t="s">
        <v>68</v>
      </c>
      <c r="L34" s="15"/>
    </row>
    <row r="35" spans="3:12" x14ac:dyDescent="0.45">
      <c r="C35" s="48" t="s">
        <v>77</v>
      </c>
      <c r="D35" s="23">
        <f>-SUM(P2:P16)</f>
        <v>-51</v>
      </c>
      <c r="E35" s="34" t="s">
        <v>68</v>
      </c>
      <c r="F35" s="35" t="s">
        <v>68</v>
      </c>
      <c r="J35" s="15"/>
    </row>
    <row r="36" spans="3:12" x14ac:dyDescent="0.45">
      <c r="C36" s="48" t="s">
        <v>78</v>
      </c>
      <c r="D36" s="23">
        <f>-(1000/39500)*$J$24*11</f>
        <v>-33.696202531645568</v>
      </c>
      <c r="E36" s="23">
        <f>-(1000/39500)*$J$24*12</f>
        <v>-36.759493670886073</v>
      </c>
      <c r="F36" s="36">
        <f>-(1000/39500)*$J$24*12</f>
        <v>-36.759493670886073</v>
      </c>
    </row>
    <row r="37" spans="3:12" x14ac:dyDescent="0.45">
      <c r="C37" s="48" t="s">
        <v>79</v>
      </c>
      <c r="D37" s="23">
        <f>-0.014*$J$24*11</f>
        <v>-18.634</v>
      </c>
      <c r="E37" s="23">
        <f>-0.014*$J$24*12</f>
        <v>-20.327999999999999</v>
      </c>
      <c r="F37" s="36">
        <f>-0.014*$J$24*12</f>
        <v>-20.327999999999999</v>
      </c>
    </row>
    <row r="38" spans="3:12" ht="14.65" thickBot="1" x14ac:dyDescent="0.5">
      <c r="C38" s="49" t="s">
        <v>97</v>
      </c>
      <c r="D38" s="28">
        <f>-1000000*0.1*11/39500</f>
        <v>-27.848101265822784</v>
      </c>
      <c r="E38" s="28">
        <f>-1000000*0.1*12/39500</f>
        <v>-30.379746835443036</v>
      </c>
      <c r="F38" s="29">
        <f>-1000000*0.1*12/39500</f>
        <v>-30.379746835443036</v>
      </c>
      <c r="I38" s="18"/>
    </row>
    <row r="39" spans="3:12" ht="14.65" thickBot="1" x14ac:dyDescent="0.5">
      <c r="C39" s="37" t="s">
        <v>80</v>
      </c>
      <c r="D39" s="30">
        <f>SUM(D27:D38)</f>
        <v>-281.14403797468356</v>
      </c>
      <c r="E39" s="30">
        <f>SUM(E27:E38)</f>
        <v>-87.467240506329119</v>
      </c>
      <c r="F39" s="31">
        <f>SUM(F27:F38)</f>
        <v>-87.467240506329119</v>
      </c>
    </row>
    <row r="40" spans="3:12" ht="14.65" thickBot="1" x14ac:dyDescent="0.5">
      <c r="C40" s="22"/>
      <c r="D40" s="23"/>
      <c r="E40" s="23"/>
      <c r="F40" s="23"/>
    </row>
    <row r="41" spans="3:12" x14ac:dyDescent="0.45">
      <c r="C41" s="24"/>
      <c r="D41" s="25"/>
      <c r="E41" s="25"/>
      <c r="F41" s="26"/>
    </row>
    <row r="42" spans="3:12" ht="14.65" thickBot="1" x14ac:dyDescent="0.5">
      <c r="C42" s="37" t="s">
        <v>81</v>
      </c>
      <c r="D42" s="30">
        <f>-SUM(V2:V16)</f>
        <v>-243.21000000000004</v>
      </c>
      <c r="E42" s="28"/>
      <c r="F42" s="29"/>
    </row>
    <row r="43" spans="3:12" ht="14.65" thickBot="1" x14ac:dyDescent="0.5">
      <c r="C43" s="22"/>
      <c r="D43" s="23"/>
      <c r="E43" s="23"/>
      <c r="F43" s="23"/>
    </row>
    <row r="44" spans="3:12" x14ac:dyDescent="0.45">
      <c r="C44" s="24" t="s">
        <v>82</v>
      </c>
      <c r="D44" s="25">
        <f>D25+D39+D42</f>
        <v>446.24596202531632</v>
      </c>
      <c r="E44" s="25">
        <f>E25+E39+E42</f>
        <v>783.73275949367076</v>
      </c>
      <c r="F44" s="26">
        <f>F25+F39+F42</f>
        <v>783.73275949367076</v>
      </c>
    </row>
    <row r="45" spans="3:12" x14ac:dyDescent="0.45">
      <c r="C45" s="27" t="s">
        <v>83</v>
      </c>
      <c r="D45" s="23">
        <f>D44</f>
        <v>446.24596202531632</v>
      </c>
      <c r="E45" s="23">
        <f>D45+E44</f>
        <v>1229.9787215189872</v>
      </c>
      <c r="F45" s="36">
        <f>E45+F44</f>
        <v>2013.7114810126579</v>
      </c>
    </row>
    <row r="46" spans="3:12" x14ac:dyDescent="0.45">
      <c r="C46" s="38" t="s">
        <v>84</v>
      </c>
      <c r="D46" s="39">
        <f>NPV(8%,D45:F45)</f>
        <v>3066.2483094227032</v>
      </c>
      <c r="E46" s="40"/>
      <c r="F46" s="41"/>
    </row>
    <row r="47" spans="3:12" ht="14.65" thickBot="1" x14ac:dyDescent="0.5">
      <c r="C47" s="37" t="s">
        <v>85</v>
      </c>
      <c r="D47" s="42">
        <f>D46*39500</f>
        <v>121116808.22219677</v>
      </c>
      <c r="E47" s="43"/>
      <c r="F47" s="44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D98DA-9704-4BEB-9A4E-695E3C2B1992}">
  <dimension ref="A3:B7"/>
  <sheetViews>
    <sheetView workbookViewId="0">
      <selection activeCell="A3" sqref="A3"/>
    </sheetView>
  </sheetViews>
  <sheetFormatPr baseColWidth="10" defaultRowHeight="14.25" x14ac:dyDescent="0.45"/>
  <cols>
    <col min="1" max="1" width="16" bestFit="1" customWidth="1"/>
    <col min="2" max="2" width="11.9296875" bestFit="1" customWidth="1"/>
  </cols>
  <sheetData>
    <row r="3" spans="1:2" x14ac:dyDescent="0.45">
      <c r="A3" s="9" t="s">
        <v>49</v>
      </c>
      <c r="B3" t="s">
        <v>51</v>
      </c>
    </row>
    <row r="4" spans="1:2" x14ac:dyDescent="0.45">
      <c r="A4" s="10" t="s">
        <v>13</v>
      </c>
      <c r="B4">
        <v>5</v>
      </c>
    </row>
    <row r="5" spans="1:2" x14ac:dyDescent="0.45">
      <c r="A5" s="10" t="s">
        <v>17</v>
      </c>
      <c r="B5">
        <v>4</v>
      </c>
    </row>
    <row r="6" spans="1:2" x14ac:dyDescent="0.45">
      <c r="A6" s="10" t="s">
        <v>11</v>
      </c>
      <c r="B6">
        <v>7</v>
      </c>
    </row>
    <row r="7" spans="1:2" x14ac:dyDescent="0.45">
      <c r="A7" s="10" t="s">
        <v>50</v>
      </c>
      <c r="B7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5E5E3-EFE5-40D6-A08A-76B69AF444C9}">
  <dimension ref="A2:F4"/>
  <sheetViews>
    <sheetView workbookViewId="0">
      <selection activeCell="B2" sqref="B2"/>
    </sheetView>
  </sheetViews>
  <sheetFormatPr baseColWidth="10" defaultRowHeight="14.25" x14ac:dyDescent="0.45"/>
  <cols>
    <col min="5" max="5" width="11.73046875" bestFit="1" customWidth="1"/>
  </cols>
  <sheetData>
    <row r="2" spans="1:6" x14ac:dyDescent="0.45">
      <c r="A2" t="s">
        <v>34</v>
      </c>
      <c r="B2" t="s">
        <v>11</v>
      </c>
      <c r="C2" t="s">
        <v>92</v>
      </c>
      <c r="D2" t="s">
        <v>20</v>
      </c>
      <c r="E2" t="s">
        <v>93</v>
      </c>
      <c r="F2" t="s">
        <v>10</v>
      </c>
    </row>
    <row r="3" spans="1:6" x14ac:dyDescent="0.45">
      <c r="A3" t="s">
        <v>32</v>
      </c>
      <c r="B3" t="s">
        <v>94</v>
      </c>
      <c r="C3" t="s">
        <v>95</v>
      </c>
      <c r="D3" t="s">
        <v>9</v>
      </c>
      <c r="E3" t="s">
        <v>14</v>
      </c>
    </row>
    <row r="4" spans="1:6" x14ac:dyDescent="0.45">
      <c r="A4" t="s">
        <v>35</v>
      </c>
      <c r="B4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7"/>
  <sheetViews>
    <sheetView workbookViewId="0">
      <selection activeCell="C7" sqref="C7"/>
    </sheetView>
  </sheetViews>
  <sheetFormatPr baseColWidth="10" defaultColWidth="9.06640625" defaultRowHeight="14.25" x14ac:dyDescent="0.45"/>
  <sheetData>
    <row r="1" spans="1:9" x14ac:dyDescent="0.45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1</v>
      </c>
    </row>
    <row r="2" spans="1:9" x14ac:dyDescent="0.45">
      <c r="A2" t="s">
        <v>32</v>
      </c>
      <c r="B2">
        <v>1</v>
      </c>
      <c r="C2" t="s">
        <v>17</v>
      </c>
      <c r="D2">
        <v>4.5</v>
      </c>
      <c r="E2">
        <v>3</v>
      </c>
      <c r="F2" t="s">
        <v>33</v>
      </c>
      <c r="G2">
        <v>0</v>
      </c>
      <c r="H2" t="s">
        <v>17</v>
      </c>
    </row>
    <row r="3" spans="1:9" x14ac:dyDescent="0.45">
      <c r="A3" t="s">
        <v>32</v>
      </c>
      <c r="B3">
        <v>2</v>
      </c>
      <c r="C3" t="s">
        <v>17</v>
      </c>
      <c r="D3">
        <v>4.5</v>
      </c>
      <c r="E3">
        <v>3</v>
      </c>
      <c r="G3">
        <v>0</v>
      </c>
      <c r="H3" t="s">
        <v>17</v>
      </c>
    </row>
    <row r="4" spans="1:9" x14ac:dyDescent="0.45">
      <c r="A4" t="s">
        <v>32</v>
      </c>
      <c r="B4">
        <v>3</v>
      </c>
      <c r="C4" t="s">
        <v>17</v>
      </c>
      <c r="D4">
        <v>4.5</v>
      </c>
      <c r="E4">
        <v>3</v>
      </c>
      <c r="G4">
        <v>0</v>
      </c>
      <c r="H4" t="s">
        <v>17</v>
      </c>
    </row>
    <row r="5" spans="1:9" x14ac:dyDescent="0.45">
      <c r="A5" t="s">
        <v>32</v>
      </c>
      <c r="B5">
        <v>4</v>
      </c>
      <c r="C5" t="s">
        <v>17</v>
      </c>
      <c r="D5">
        <v>4.5</v>
      </c>
      <c r="E5">
        <v>3</v>
      </c>
      <c r="G5">
        <v>0</v>
      </c>
      <c r="H5" t="s">
        <v>17</v>
      </c>
    </row>
    <row r="6" spans="1:9" x14ac:dyDescent="0.45">
      <c r="A6" t="s">
        <v>34</v>
      </c>
      <c r="B6">
        <v>1</v>
      </c>
      <c r="C6" t="s">
        <v>11</v>
      </c>
      <c r="D6">
        <v>4.5</v>
      </c>
      <c r="E6">
        <v>3</v>
      </c>
      <c r="F6" t="s">
        <v>33</v>
      </c>
      <c r="G6">
        <v>0</v>
      </c>
      <c r="H6" t="s">
        <v>11</v>
      </c>
    </row>
    <row r="7" spans="1:9" x14ac:dyDescent="0.45">
      <c r="A7" t="s">
        <v>34</v>
      </c>
      <c r="B7">
        <v>2</v>
      </c>
      <c r="C7" t="s">
        <v>11</v>
      </c>
      <c r="D7">
        <v>4.5</v>
      </c>
      <c r="E7">
        <v>3</v>
      </c>
      <c r="G7">
        <v>0</v>
      </c>
      <c r="H7" t="s">
        <v>11</v>
      </c>
    </row>
    <row r="8" spans="1:9" x14ac:dyDescent="0.45">
      <c r="A8" t="s">
        <v>34</v>
      </c>
      <c r="B8">
        <v>3</v>
      </c>
      <c r="C8" t="s">
        <v>11</v>
      </c>
      <c r="D8">
        <v>4.5</v>
      </c>
      <c r="E8">
        <v>3</v>
      </c>
      <c r="G8">
        <v>0</v>
      </c>
      <c r="H8" t="s">
        <v>11</v>
      </c>
    </row>
    <row r="9" spans="1:9" x14ac:dyDescent="0.45">
      <c r="A9" t="s">
        <v>34</v>
      </c>
      <c r="B9">
        <v>4</v>
      </c>
      <c r="C9" t="s">
        <v>11</v>
      </c>
      <c r="D9">
        <v>4.5</v>
      </c>
      <c r="E9">
        <v>3</v>
      </c>
      <c r="G9">
        <v>0</v>
      </c>
      <c r="H9" t="s">
        <v>11</v>
      </c>
    </row>
    <row r="10" spans="1:9" x14ac:dyDescent="0.45">
      <c r="A10" t="s">
        <v>34</v>
      </c>
      <c r="B10">
        <v>5</v>
      </c>
      <c r="C10" t="s">
        <v>11</v>
      </c>
      <c r="D10">
        <v>4.5</v>
      </c>
      <c r="E10">
        <v>3</v>
      </c>
      <c r="G10">
        <v>0</v>
      </c>
      <c r="H10" t="s">
        <v>11</v>
      </c>
    </row>
    <row r="11" spans="1:9" x14ac:dyDescent="0.45">
      <c r="A11" t="s">
        <v>34</v>
      </c>
      <c r="B11">
        <v>6</v>
      </c>
      <c r="C11" t="s">
        <v>11</v>
      </c>
      <c r="D11">
        <v>4.5</v>
      </c>
      <c r="E11">
        <v>3</v>
      </c>
      <c r="G11">
        <v>0</v>
      </c>
      <c r="H11" t="s">
        <v>11</v>
      </c>
    </row>
    <row r="12" spans="1:9" x14ac:dyDescent="0.45">
      <c r="A12" t="s">
        <v>34</v>
      </c>
      <c r="B12">
        <v>7</v>
      </c>
      <c r="C12" t="s">
        <v>11</v>
      </c>
      <c r="D12">
        <v>1.5</v>
      </c>
      <c r="E12">
        <v>1</v>
      </c>
      <c r="G12">
        <v>0</v>
      </c>
      <c r="H12" t="s">
        <v>11</v>
      </c>
    </row>
    <row r="13" spans="1:9" x14ac:dyDescent="0.45">
      <c r="A13" t="s">
        <v>35</v>
      </c>
      <c r="B13">
        <v>1</v>
      </c>
      <c r="C13" t="s">
        <v>13</v>
      </c>
      <c r="D13">
        <v>4.5</v>
      </c>
      <c r="E13">
        <v>3</v>
      </c>
      <c r="F13" t="s">
        <v>33</v>
      </c>
      <c r="G13">
        <v>0</v>
      </c>
      <c r="H13" t="s">
        <v>13</v>
      </c>
    </row>
    <row r="14" spans="1:9" x14ac:dyDescent="0.45">
      <c r="A14" t="s">
        <v>35</v>
      </c>
      <c r="B14">
        <v>2</v>
      </c>
      <c r="C14" t="s">
        <v>13</v>
      </c>
      <c r="D14">
        <v>4.5</v>
      </c>
      <c r="E14">
        <v>3</v>
      </c>
      <c r="G14">
        <v>0</v>
      </c>
      <c r="H14" t="s">
        <v>13</v>
      </c>
    </row>
    <row r="15" spans="1:9" x14ac:dyDescent="0.45">
      <c r="A15" t="s">
        <v>35</v>
      </c>
      <c r="B15">
        <v>3</v>
      </c>
      <c r="C15" t="s">
        <v>13</v>
      </c>
      <c r="D15">
        <v>4.5</v>
      </c>
      <c r="E15">
        <v>3</v>
      </c>
      <c r="G15">
        <v>0</v>
      </c>
      <c r="H15" t="s">
        <v>13</v>
      </c>
    </row>
    <row r="16" spans="1:9" x14ac:dyDescent="0.45">
      <c r="A16" t="s">
        <v>35</v>
      </c>
      <c r="B16">
        <v>4</v>
      </c>
      <c r="C16" t="s">
        <v>13</v>
      </c>
      <c r="D16">
        <v>4.5</v>
      </c>
      <c r="E16">
        <v>3</v>
      </c>
      <c r="G16">
        <v>0</v>
      </c>
      <c r="H16" t="s">
        <v>13</v>
      </c>
    </row>
    <row r="17" spans="1:8" x14ac:dyDescent="0.45">
      <c r="A17" t="s">
        <v>35</v>
      </c>
      <c r="B17">
        <v>5</v>
      </c>
      <c r="C17" t="s">
        <v>13</v>
      </c>
      <c r="D17">
        <v>1.5</v>
      </c>
      <c r="E17">
        <v>1</v>
      </c>
      <c r="G17">
        <v>0</v>
      </c>
      <c r="H17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Costos_por_Ciudad</vt:lpstr>
      <vt:lpstr>Hoja1</vt:lpstr>
      <vt:lpstr>Ruta</vt:lpstr>
      <vt:lpstr>Plan_Diario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christian zambrano vallejos</cp:lastModifiedBy>
  <dcterms:created xsi:type="dcterms:W3CDTF">2025-12-23T16:37:31Z</dcterms:created>
  <dcterms:modified xsi:type="dcterms:W3CDTF">2026-01-04T06:31:38Z</dcterms:modified>
</cp:coreProperties>
</file>