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6" documentId="11_EAA92B74B63F40B83B084B50E8D680D3D2175A19" xr6:coauthVersionLast="47" xr6:coauthVersionMax="47" xr10:uidLastSave="{B166F4DC-C78F-4CBB-AFA9-8C79F3061DE8}"/>
  <bookViews>
    <workbookView xWindow="-98" yWindow="-98" windowWidth="21795" windowHeight="12975" xr2:uid="{00000000-000D-0000-FFFF-FFFF00000000}"/>
  </bookViews>
  <sheets>
    <sheet name="Detalle Costos" sheetId="1" r:id="rId1"/>
    <sheet name="Parametros" sheetId="2" r:id="rId2"/>
    <sheet name="Detalle Viaj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F25" i="1" l="1"/>
</calcChain>
</file>

<file path=xl/sharedStrings.xml><?xml version="1.0" encoding="utf-8"?>
<sst xmlns="http://schemas.openxmlformats.org/spreadsheetml/2006/main" count="214" uniqueCount="71">
  <si>
    <t>ciudad</t>
  </si>
  <si>
    <t>Tecnico</t>
  </si>
  <si>
    <t>gps_total</t>
  </si>
  <si>
    <t>gps_internos</t>
  </si>
  <si>
    <t>% Internos</t>
  </si>
  <si>
    <t>Puntos</t>
  </si>
  <si>
    <t>sueldo</t>
  </si>
  <si>
    <t>Almuerzos</t>
  </si>
  <si>
    <t>Alojamientos</t>
  </si>
  <si>
    <t>Viajes</t>
  </si>
  <si>
    <t>Traslado Interno</t>
  </si>
  <si>
    <t>Total Interno</t>
  </si>
  <si>
    <t>gps_externos</t>
  </si>
  <si>
    <t>pxq_unit_uf_gps</t>
  </si>
  <si>
    <t>pxq_uf</t>
  </si>
  <si>
    <t>Total Externos</t>
  </si>
  <si>
    <t>flete_uf</t>
  </si>
  <si>
    <t>Materiales_uf</t>
  </si>
  <si>
    <t>TOTAL PROYECTO</t>
  </si>
  <si>
    <t>Extras 10%</t>
  </si>
  <si>
    <t>accesorios</t>
  </si>
  <si>
    <t>total_ciudad_uf</t>
  </si>
  <si>
    <t>Rancagua</t>
  </si>
  <si>
    <t>Carlos, Jimmy</t>
  </si>
  <si>
    <t>Santiago</t>
  </si>
  <si>
    <t>Carlos, Efrain, Fabian D., Luis, Wilmer</t>
  </si>
  <si>
    <t>San Antonio</t>
  </si>
  <si>
    <t>Carlos</t>
  </si>
  <si>
    <t>San Fernando</t>
  </si>
  <si>
    <t>Viña del Mar</t>
  </si>
  <si>
    <t>Efrain, Fabian D., Luis</t>
  </si>
  <si>
    <t>Talca</t>
  </si>
  <si>
    <t>San Felipe</t>
  </si>
  <si>
    <t>Efrain</t>
  </si>
  <si>
    <t>Copiapo</t>
  </si>
  <si>
    <t>Externo</t>
  </si>
  <si>
    <t>Antofagasta</t>
  </si>
  <si>
    <t>Orlando</t>
  </si>
  <si>
    <t>La Serena</t>
  </si>
  <si>
    <t>Fabian D.</t>
  </si>
  <si>
    <t>Calama</t>
  </si>
  <si>
    <t>Iquique</t>
  </si>
  <si>
    <t>Arica</t>
  </si>
  <si>
    <t>Temuco</t>
  </si>
  <si>
    <t>Jimmy</t>
  </si>
  <si>
    <t>Concepcion</t>
  </si>
  <si>
    <t>Chillan</t>
  </si>
  <si>
    <t>Puerto Montt</t>
  </si>
  <si>
    <t>Osorno</t>
  </si>
  <si>
    <t>Los Angeles</t>
  </si>
  <si>
    <t>Punta Arenas</t>
  </si>
  <si>
    <t>Coyhaique</t>
  </si>
  <si>
    <t>Ajuste de Cierre</t>
  </si>
  <si>
    <t>Sistema (Redondeo)</t>
  </si>
  <si>
    <t>Param</t>
  </si>
  <si>
    <t>Val</t>
  </si>
  <si>
    <t>H_DIA</t>
  </si>
  <si>
    <t>VEL</t>
  </si>
  <si>
    <t>INCENTIVO</t>
  </si>
  <si>
    <t>ALOJ</t>
  </si>
  <si>
    <t>ALMU</t>
  </si>
  <si>
    <t>BENCINA</t>
  </si>
  <si>
    <t>Origen</t>
  </si>
  <si>
    <t>Destino</t>
  </si>
  <si>
    <t>Dia</t>
  </si>
  <si>
    <t>Km</t>
  </si>
  <si>
    <t>Peajes (UF)</t>
  </si>
  <si>
    <t>Costo (UF)</t>
  </si>
  <si>
    <t>Modo</t>
  </si>
  <si>
    <t>Luis</t>
  </si>
  <si>
    <t>Terrestre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</si>
</sst>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workbookViewId="0">
      <selection activeCell="D27" sqref="D27"/>
    </sheetView>
  </sheetViews>
  <sheetFormatPr baseColWidth="10" defaultColWidth="9.06640625" defaultRowHeight="14.25" x14ac:dyDescent="0.45"/>
  <cols>
    <col min="1" max="1" width="13.19921875" bestFit="1" customWidth="1"/>
    <col min="2" max="2" width="30.19921875" bestFit="1" customWidth="1"/>
    <col min="3" max="3" width="8.265625" bestFit="1" customWidth="1"/>
    <col min="4" max="4" width="11.265625" bestFit="1" customWidth="1"/>
    <col min="5" max="5" width="11.73046875" bestFit="1" customWidth="1"/>
    <col min="6" max="6" width="14.06640625" bestFit="1" customWidth="1"/>
    <col min="7" max="7" width="11.73046875" bestFit="1" customWidth="1"/>
    <col min="8" max="8" width="9.3984375" bestFit="1" customWidth="1"/>
    <col min="9" max="9" width="11.53125" bestFit="1" customWidth="1"/>
    <col min="10" max="10" width="6.73046875" bestFit="1" customWidth="1"/>
    <col min="11" max="11" width="14.1328125" bestFit="1" customWidth="1"/>
    <col min="12" max="12" width="11.73046875" bestFit="1" customWidth="1"/>
    <col min="13" max="13" width="11.59765625" bestFit="1" customWidth="1"/>
    <col min="14" max="14" width="14.265625" bestFit="1" customWidth="1"/>
    <col min="15" max="15" width="7.73046875" bestFit="1" customWidth="1"/>
    <col min="16" max="16" width="12.33203125" bestFit="1" customWidth="1"/>
    <col min="17" max="17" width="7.06640625" bestFit="1" customWidth="1"/>
    <col min="18" max="18" width="11.9296875" bestFit="1" customWidth="1"/>
    <col min="19" max="19" width="15" bestFit="1" customWidth="1"/>
    <col min="20" max="20" width="9.46484375" bestFit="1" customWidth="1"/>
    <col min="21" max="21" width="9.1328125" bestFit="1" customWidth="1"/>
    <col min="22" max="22" width="13.46484375" bestFit="1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t="s">
        <v>22</v>
      </c>
      <c r="B2" t="s">
        <v>23</v>
      </c>
      <c r="C2">
        <v>10</v>
      </c>
      <c r="D2">
        <v>9</v>
      </c>
      <c r="E2">
        <v>0.9</v>
      </c>
      <c r="F2">
        <v>7.83</v>
      </c>
      <c r="G2">
        <v>1.96</v>
      </c>
      <c r="H2">
        <v>1.5</v>
      </c>
      <c r="I2">
        <v>3.3000000000000012</v>
      </c>
      <c r="J2">
        <v>0.68900000000000006</v>
      </c>
      <c r="K2">
        <v>0.39</v>
      </c>
      <c r="L2">
        <v>15.669</v>
      </c>
      <c r="M2">
        <v>1</v>
      </c>
      <c r="N2">
        <v>1.9971000000000001</v>
      </c>
      <c r="O2">
        <v>1.6971000000000001</v>
      </c>
      <c r="P2">
        <v>1.9971000000000001</v>
      </c>
      <c r="Q2">
        <v>0.3</v>
      </c>
      <c r="R2">
        <v>0</v>
      </c>
      <c r="S2">
        <v>61.6661</v>
      </c>
      <c r="T2">
        <v>0</v>
      </c>
      <c r="U2">
        <v>44</v>
      </c>
      <c r="V2">
        <v>61.6661</v>
      </c>
    </row>
    <row r="3" spans="1:22" x14ac:dyDescent="0.45">
      <c r="A3" t="s">
        <v>24</v>
      </c>
      <c r="B3" t="s">
        <v>25</v>
      </c>
      <c r="C3">
        <v>135</v>
      </c>
      <c r="D3">
        <v>135</v>
      </c>
      <c r="E3">
        <v>1</v>
      </c>
      <c r="F3">
        <v>117.45</v>
      </c>
      <c r="G3">
        <v>58.8</v>
      </c>
      <c r="H3">
        <v>22.5</v>
      </c>
      <c r="I3">
        <v>0</v>
      </c>
      <c r="J3">
        <v>3.911</v>
      </c>
      <c r="K3">
        <v>5.85</v>
      </c>
      <c r="L3">
        <v>208.511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802.51099999999997</v>
      </c>
      <c r="T3">
        <v>0</v>
      </c>
      <c r="U3">
        <v>594</v>
      </c>
      <c r="V3">
        <v>802.51099999999997</v>
      </c>
    </row>
    <row r="4" spans="1:22" x14ac:dyDescent="0.45">
      <c r="A4" t="s">
        <v>26</v>
      </c>
      <c r="B4" t="s">
        <v>27</v>
      </c>
      <c r="C4">
        <v>5</v>
      </c>
      <c r="D4">
        <v>5</v>
      </c>
      <c r="E4">
        <v>1</v>
      </c>
      <c r="F4">
        <v>4.3499999999999996</v>
      </c>
      <c r="G4">
        <v>1.3066666666666671</v>
      </c>
      <c r="H4">
        <v>1</v>
      </c>
      <c r="I4">
        <v>2.2000000000000002</v>
      </c>
      <c r="J4">
        <v>0.56740000000000002</v>
      </c>
      <c r="K4">
        <v>0.26</v>
      </c>
      <c r="L4">
        <v>9.6840666666666664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31.68406666666667</v>
      </c>
      <c r="T4">
        <v>0</v>
      </c>
      <c r="U4">
        <v>22</v>
      </c>
      <c r="V4">
        <v>31.68406666666667</v>
      </c>
    </row>
    <row r="5" spans="1:22" x14ac:dyDescent="0.45">
      <c r="A5" t="s">
        <v>28</v>
      </c>
      <c r="B5" t="s">
        <v>23</v>
      </c>
      <c r="C5">
        <v>16</v>
      </c>
      <c r="D5">
        <v>16</v>
      </c>
      <c r="E5">
        <v>1</v>
      </c>
      <c r="F5">
        <v>13.92</v>
      </c>
      <c r="G5">
        <v>3.92</v>
      </c>
      <c r="H5">
        <v>3</v>
      </c>
      <c r="I5">
        <v>6.6000000000000014</v>
      </c>
      <c r="J5">
        <v>2.3102</v>
      </c>
      <c r="K5">
        <v>0.78</v>
      </c>
      <c r="L5">
        <v>30.530200000000001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100.9302</v>
      </c>
      <c r="T5">
        <v>0</v>
      </c>
      <c r="U5">
        <v>70.400000000000006</v>
      </c>
      <c r="V5">
        <v>100.9302</v>
      </c>
    </row>
    <row r="6" spans="1:22" x14ac:dyDescent="0.45">
      <c r="A6" t="s">
        <v>29</v>
      </c>
      <c r="B6" t="s">
        <v>30</v>
      </c>
      <c r="C6">
        <v>26</v>
      </c>
      <c r="D6">
        <v>26</v>
      </c>
      <c r="E6">
        <v>1</v>
      </c>
      <c r="F6">
        <v>22.62</v>
      </c>
      <c r="G6">
        <v>5.88</v>
      </c>
      <c r="H6">
        <v>4.5</v>
      </c>
      <c r="I6">
        <v>9.9</v>
      </c>
      <c r="J6">
        <v>3.4649999999999999</v>
      </c>
      <c r="K6">
        <v>1.17</v>
      </c>
      <c r="L6">
        <v>47.534999999999997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161.935</v>
      </c>
      <c r="T6">
        <v>0</v>
      </c>
      <c r="U6">
        <v>114.4</v>
      </c>
      <c r="V6">
        <v>161.935</v>
      </c>
    </row>
    <row r="7" spans="1:22" x14ac:dyDescent="0.45">
      <c r="A7" t="s">
        <v>31</v>
      </c>
      <c r="B7" t="s">
        <v>27</v>
      </c>
      <c r="C7">
        <v>9</v>
      </c>
      <c r="D7">
        <v>9</v>
      </c>
      <c r="E7">
        <v>1</v>
      </c>
      <c r="F7">
        <v>7.83</v>
      </c>
      <c r="G7">
        <v>1.96</v>
      </c>
      <c r="H7">
        <v>1.5</v>
      </c>
      <c r="I7">
        <v>3.3000000000000012</v>
      </c>
      <c r="J7">
        <v>1.1551</v>
      </c>
      <c r="K7">
        <v>0.39</v>
      </c>
      <c r="L7">
        <v>16.135100000000001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55.735100000000003</v>
      </c>
      <c r="T7">
        <v>0</v>
      </c>
      <c r="U7">
        <v>39.6</v>
      </c>
      <c r="V7">
        <v>55.735100000000003</v>
      </c>
    </row>
    <row r="8" spans="1:22" x14ac:dyDescent="0.45">
      <c r="A8" t="s">
        <v>32</v>
      </c>
      <c r="B8" t="s">
        <v>33</v>
      </c>
      <c r="C8">
        <v>5</v>
      </c>
      <c r="D8">
        <v>5</v>
      </c>
      <c r="E8">
        <v>1</v>
      </c>
      <c r="F8">
        <v>4.3499999999999996</v>
      </c>
      <c r="G8">
        <v>1.3066666666666671</v>
      </c>
      <c r="H8">
        <v>1</v>
      </c>
      <c r="I8">
        <v>2.2000000000000002</v>
      </c>
      <c r="J8">
        <v>0.38500000000000001</v>
      </c>
      <c r="K8">
        <v>0.26</v>
      </c>
      <c r="L8">
        <v>9.5016666666666652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31.501666666666669</v>
      </c>
      <c r="T8">
        <v>0</v>
      </c>
      <c r="U8">
        <v>22</v>
      </c>
      <c r="V8">
        <v>31.501666666666669</v>
      </c>
    </row>
    <row r="9" spans="1:22" x14ac:dyDescent="0.45">
      <c r="A9" t="s">
        <v>34</v>
      </c>
      <c r="B9" t="s">
        <v>35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</v>
      </c>
      <c r="N9">
        <v>1.7471000000000001</v>
      </c>
      <c r="O9">
        <v>13.5768</v>
      </c>
      <c r="P9">
        <v>13.976800000000001</v>
      </c>
      <c r="Q9">
        <v>0.4</v>
      </c>
      <c r="R9">
        <v>0</v>
      </c>
      <c r="S9">
        <v>49.1768</v>
      </c>
      <c r="T9">
        <v>0</v>
      </c>
      <c r="U9">
        <v>35.200000000000003</v>
      </c>
      <c r="V9">
        <v>49.1768</v>
      </c>
    </row>
    <row r="10" spans="1:22" x14ac:dyDescent="0.45">
      <c r="A10" t="s">
        <v>36</v>
      </c>
      <c r="B10" t="s">
        <v>37</v>
      </c>
      <c r="C10">
        <v>10</v>
      </c>
      <c r="D10">
        <v>10</v>
      </c>
      <c r="E10">
        <v>1</v>
      </c>
      <c r="F10">
        <v>8.6999999999999993</v>
      </c>
      <c r="G10">
        <v>2.6133333333333328</v>
      </c>
      <c r="H10">
        <v>2</v>
      </c>
      <c r="I10">
        <v>4.4000000000000004</v>
      </c>
      <c r="J10">
        <v>0.81059999999999999</v>
      </c>
      <c r="K10">
        <v>0.52</v>
      </c>
      <c r="L10">
        <v>19.043933333333332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63.043933333333328</v>
      </c>
      <c r="T10">
        <v>0</v>
      </c>
      <c r="U10">
        <v>44</v>
      </c>
      <c r="V10">
        <v>63.043933333333328</v>
      </c>
    </row>
    <row r="11" spans="1:22" x14ac:dyDescent="0.45">
      <c r="A11" t="s">
        <v>38</v>
      </c>
      <c r="B11" t="s">
        <v>39</v>
      </c>
      <c r="C11">
        <v>13</v>
      </c>
      <c r="D11">
        <v>12</v>
      </c>
      <c r="E11">
        <v>0.92307692307692313</v>
      </c>
      <c r="F11">
        <v>10.44</v>
      </c>
      <c r="G11">
        <v>2.6133333333333328</v>
      </c>
      <c r="H11">
        <v>2</v>
      </c>
      <c r="I11">
        <v>4.4000000000000004</v>
      </c>
      <c r="J11">
        <v>1.4185000000000001</v>
      </c>
      <c r="K11">
        <v>0.52</v>
      </c>
      <c r="L11">
        <v>21.391833333333331</v>
      </c>
      <c r="M11">
        <v>1</v>
      </c>
      <c r="N11">
        <v>2.2277</v>
      </c>
      <c r="O11">
        <v>1.8277000000000001</v>
      </c>
      <c r="P11">
        <v>2.2277</v>
      </c>
      <c r="Q11">
        <v>0.4</v>
      </c>
      <c r="R11">
        <v>0</v>
      </c>
      <c r="S11">
        <v>80.819533333333339</v>
      </c>
      <c r="T11">
        <v>0</v>
      </c>
      <c r="U11">
        <v>57.2</v>
      </c>
      <c r="V11">
        <v>80.819533333333339</v>
      </c>
    </row>
    <row r="12" spans="1:22" x14ac:dyDescent="0.45">
      <c r="A12" t="s">
        <v>40</v>
      </c>
      <c r="B12" t="s">
        <v>37</v>
      </c>
      <c r="C12">
        <v>4</v>
      </c>
      <c r="D12">
        <v>4</v>
      </c>
      <c r="E12">
        <v>1</v>
      </c>
      <c r="F12">
        <v>3.48</v>
      </c>
      <c r="G12">
        <v>11.76</v>
      </c>
      <c r="H12">
        <v>1</v>
      </c>
      <c r="I12">
        <v>0</v>
      </c>
      <c r="J12">
        <v>1.6617</v>
      </c>
      <c r="K12">
        <v>0.26</v>
      </c>
      <c r="L12">
        <v>18.1617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35.761699999999998</v>
      </c>
      <c r="T12">
        <v>0</v>
      </c>
      <c r="U12">
        <v>17.600000000000001</v>
      </c>
      <c r="V12">
        <v>35.761699999999998</v>
      </c>
    </row>
    <row r="13" spans="1:22" x14ac:dyDescent="0.45">
      <c r="A13" t="s">
        <v>41</v>
      </c>
      <c r="B13" t="s">
        <v>37</v>
      </c>
      <c r="C13">
        <v>4</v>
      </c>
      <c r="D13">
        <v>4</v>
      </c>
      <c r="E13">
        <v>1</v>
      </c>
      <c r="F13">
        <v>3.48</v>
      </c>
      <c r="G13">
        <v>1.3066666666666671</v>
      </c>
      <c r="H13">
        <v>1</v>
      </c>
      <c r="I13">
        <v>2.2000000000000002</v>
      </c>
      <c r="J13">
        <v>0.85109999999999997</v>
      </c>
      <c r="K13">
        <v>0.26</v>
      </c>
      <c r="L13">
        <v>9.0977666666666668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26.69776666666667</v>
      </c>
      <c r="T13">
        <v>0</v>
      </c>
      <c r="U13">
        <v>17.600000000000001</v>
      </c>
      <c r="V13">
        <v>26.69776666666667</v>
      </c>
    </row>
    <row r="14" spans="1:22" x14ac:dyDescent="0.45">
      <c r="A14" t="s">
        <v>42</v>
      </c>
      <c r="B14" t="s">
        <v>35</v>
      </c>
      <c r="C14">
        <v>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</v>
      </c>
      <c r="N14">
        <v>2.1221000000000001</v>
      </c>
      <c r="O14">
        <v>6.7884000000000002</v>
      </c>
      <c r="P14">
        <v>8.4884000000000004</v>
      </c>
      <c r="Q14">
        <v>1.7</v>
      </c>
      <c r="R14">
        <v>0</v>
      </c>
      <c r="S14">
        <v>26.0884</v>
      </c>
      <c r="T14">
        <v>0</v>
      </c>
      <c r="U14">
        <v>17.600000000000001</v>
      </c>
      <c r="V14">
        <v>26.0884</v>
      </c>
    </row>
    <row r="15" spans="1:22" x14ac:dyDescent="0.45">
      <c r="A15" t="s">
        <v>43</v>
      </c>
      <c r="B15" t="s">
        <v>44</v>
      </c>
      <c r="C15">
        <v>15</v>
      </c>
      <c r="D15">
        <v>15</v>
      </c>
      <c r="E15">
        <v>1</v>
      </c>
      <c r="F15">
        <v>13.05</v>
      </c>
      <c r="G15">
        <v>3.2666666666666671</v>
      </c>
      <c r="H15">
        <v>2.5</v>
      </c>
      <c r="I15">
        <v>5.5</v>
      </c>
      <c r="J15">
        <v>0.64850000000000008</v>
      </c>
      <c r="K15">
        <v>0.65</v>
      </c>
      <c r="L15">
        <v>25.615166666666671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91.615166666666667</v>
      </c>
      <c r="T15">
        <v>0</v>
      </c>
      <c r="U15">
        <v>66</v>
      </c>
      <c r="V15">
        <v>91.615166666666667</v>
      </c>
    </row>
    <row r="16" spans="1:22" x14ac:dyDescent="0.45">
      <c r="A16" t="s">
        <v>45</v>
      </c>
      <c r="B16" t="s">
        <v>33</v>
      </c>
      <c r="C16">
        <v>16</v>
      </c>
      <c r="D16">
        <v>16</v>
      </c>
      <c r="E16">
        <v>1</v>
      </c>
      <c r="F16">
        <v>13.92</v>
      </c>
      <c r="G16">
        <v>3.92</v>
      </c>
      <c r="H16">
        <v>3</v>
      </c>
      <c r="I16">
        <v>6.6000000000000014</v>
      </c>
      <c r="J16">
        <v>2.0265</v>
      </c>
      <c r="K16">
        <v>0.78</v>
      </c>
      <c r="L16">
        <v>30.246500000000001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100.6465</v>
      </c>
      <c r="T16">
        <v>0</v>
      </c>
      <c r="U16">
        <v>70.400000000000006</v>
      </c>
      <c r="V16">
        <v>100.6465</v>
      </c>
    </row>
    <row r="17" spans="1:22" x14ac:dyDescent="0.45">
      <c r="A17" t="s">
        <v>46</v>
      </c>
      <c r="B17" t="s">
        <v>44</v>
      </c>
      <c r="C17">
        <v>7</v>
      </c>
      <c r="D17">
        <v>7</v>
      </c>
      <c r="E17">
        <v>1</v>
      </c>
      <c r="F17">
        <v>6.09</v>
      </c>
      <c r="G17">
        <v>7.1866666666666674</v>
      </c>
      <c r="H17">
        <v>1.5</v>
      </c>
      <c r="I17">
        <v>0</v>
      </c>
      <c r="J17">
        <v>2.1480999999999999</v>
      </c>
      <c r="K17">
        <v>0.39</v>
      </c>
      <c r="L17">
        <v>17.314766666666671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48.114766666666668</v>
      </c>
      <c r="T17">
        <v>0</v>
      </c>
      <c r="U17">
        <v>30.8</v>
      </c>
      <c r="V17">
        <v>48.114766666666668</v>
      </c>
    </row>
    <row r="18" spans="1:22" x14ac:dyDescent="0.45">
      <c r="A18" t="s">
        <v>47</v>
      </c>
      <c r="B18" t="s">
        <v>35</v>
      </c>
      <c r="C18">
        <v>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</v>
      </c>
      <c r="N18">
        <v>2.6681428571428571</v>
      </c>
      <c r="O18">
        <v>18.277000000000001</v>
      </c>
      <c r="P18">
        <v>18.677</v>
      </c>
      <c r="Q18">
        <v>0.4</v>
      </c>
      <c r="R18">
        <v>0</v>
      </c>
      <c r="S18">
        <v>49.476999999999997</v>
      </c>
      <c r="T18">
        <v>0</v>
      </c>
      <c r="U18">
        <v>30.8</v>
      </c>
      <c r="V18">
        <v>49.476999999999997</v>
      </c>
    </row>
    <row r="19" spans="1:22" x14ac:dyDescent="0.45">
      <c r="A19" t="s">
        <v>48</v>
      </c>
      <c r="B19" t="s">
        <v>35</v>
      </c>
      <c r="C19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</v>
      </c>
      <c r="N19">
        <v>3.0787</v>
      </c>
      <c r="O19">
        <v>24.229600000000001</v>
      </c>
      <c r="P19">
        <v>24.6296</v>
      </c>
      <c r="Q19">
        <v>0.4</v>
      </c>
      <c r="R19">
        <v>0</v>
      </c>
      <c r="S19">
        <v>59.829599999999999</v>
      </c>
      <c r="T19">
        <v>0</v>
      </c>
      <c r="U19">
        <v>35.200000000000003</v>
      </c>
      <c r="V19">
        <v>59.829599999999999</v>
      </c>
    </row>
    <row r="20" spans="1:22" x14ac:dyDescent="0.45">
      <c r="A20" t="s">
        <v>49</v>
      </c>
      <c r="B20" t="s">
        <v>44</v>
      </c>
      <c r="C20">
        <v>8</v>
      </c>
      <c r="D20">
        <v>8</v>
      </c>
      <c r="E20">
        <v>1</v>
      </c>
      <c r="F20">
        <v>6.96</v>
      </c>
      <c r="G20">
        <v>1.96</v>
      </c>
      <c r="H20">
        <v>1.5</v>
      </c>
      <c r="I20">
        <v>3.3000000000000012</v>
      </c>
      <c r="J20">
        <v>0.89159999999999995</v>
      </c>
      <c r="K20">
        <v>0.39</v>
      </c>
      <c r="L20">
        <v>15.0016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50.201599999999999</v>
      </c>
      <c r="T20">
        <v>0</v>
      </c>
      <c r="U20">
        <v>35.200000000000003</v>
      </c>
      <c r="V20">
        <v>50.201599999999999</v>
      </c>
    </row>
    <row r="21" spans="1:22" x14ac:dyDescent="0.45">
      <c r="A21" t="s">
        <v>50</v>
      </c>
      <c r="B21" t="s">
        <v>35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</v>
      </c>
      <c r="N21">
        <v>3.1776666666666671</v>
      </c>
      <c r="O21">
        <v>7.8329999999999993</v>
      </c>
      <c r="P21">
        <v>9.5329999999999995</v>
      </c>
      <c r="Q21">
        <v>1.7</v>
      </c>
      <c r="R21">
        <v>0</v>
      </c>
      <c r="S21">
        <v>22.733000000000001</v>
      </c>
      <c r="T21">
        <v>0</v>
      </c>
      <c r="U21">
        <v>13.2</v>
      </c>
      <c r="V21">
        <v>22.733000000000001</v>
      </c>
    </row>
    <row r="22" spans="1:22" x14ac:dyDescent="0.45">
      <c r="A22" t="s">
        <v>51</v>
      </c>
      <c r="B22" t="s">
        <v>35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4.3109999999999999</v>
      </c>
      <c r="O22">
        <v>2.6110000000000002</v>
      </c>
      <c r="P22">
        <v>4.3109999999999999</v>
      </c>
      <c r="Q22">
        <v>1.7</v>
      </c>
      <c r="R22">
        <v>0</v>
      </c>
      <c r="S22">
        <v>8.7110000000000003</v>
      </c>
      <c r="T22">
        <v>0</v>
      </c>
      <c r="U22">
        <v>4.4000000000000004</v>
      </c>
      <c r="V22">
        <v>8.7110000000000003</v>
      </c>
    </row>
    <row r="23" spans="1:22" x14ac:dyDescent="0.45">
      <c r="A23" t="s">
        <v>52</v>
      </c>
      <c r="B23" t="s">
        <v>53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37.780099999999273</v>
      </c>
      <c r="T23">
        <v>0</v>
      </c>
      <c r="U23">
        <v>0</v>
      </c>
      <c r="V23">
        <v>37.780099999999273</v>
      </c>
    </row>
    <row r="25" spans="1:22" x14ac:dyDescent="0.45">
      <c r="F25" s="2">
        <f>+SUM(F2:F23)*39500*570</f>
        <v>5504242049.999999</v>
      </c>
    </row>
    <row r="27" spans="1:22" x14ac:dyDescent="0.45">
      <c r="D27">
        <f>SUM(F2:F23)/570</f>
        <v>0.42889473684210522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4" sqref="B4"/>
    </sheetView>
  </sheetViews>
  <sheetFormatPr baseColWidth="10" defaultColWidth="9.06640625" defaultRowHeight="14.25" x14ac:dyDescent="0.45"/>
  <sheetData>
    <row r="1" spans="1:2" x14ac:dyDescent="0.45">
      <c r="A1" s="1" t="s">
        <v>54</v>
      </c>
      <c r="B1" s="1" t="s">
        <v>55</v>
      </c>
    </row>
    <row r="2" spans="1:2" x14ac:dyDescent="0.45">
      <c r="A2" t="s">
        <v>56</v>
      </c>
      <c r="B2">
        <v>8</v>
      </c>
    </row>
    <row r="3" spans="1:2" x14ac:dyDescent="0.45">
      <c r="A3" t="s">
        <v>57</v>
      </c>
      <c r="B3">
        <v>80</v>
      </c>
    </row>
    <row r="4" spans="1:2" x14ac:dyDescent="0.45">
      <c r="A4" t="s">
        <v>58</v>
      </c>
      <c r="B4">
        <v>0.87</v>
      </c>
    </row>
    <row r="5" spans="1:2" x14ac:dyDescent="0.45">
      <c r="A5" t="s">
        <v>59</v>
      </c>
      <c r="B5">
        <v>1.1000000000000001</v>
      </c>
    </row>
    <row r="6" spans="1:2" x14ac:dyDescent="0.45">
      <c r="A6" t="s">
        <v>60</v>
      </c>
      <c r="B6">
        <v>0.5</v>
      </c>
    </row>
    <row r="7" spans="1:2" x14ac:dyDescent="0.45">
      <c r="A7" t="s">
        <v>61</v>
      </c>
      <c r="B7">
        <v>3.4199999999999999E-3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topLeftCell="A19" workbookViewId="0">
      <selection activeCell="D38" sqref="D38"/>
    </sheetView>
  </sheetViews>
  <sheetFormatPr baseColWidth="10" defaultColWidth="9.06640625" defaultRowHeight="14.25" x14ac:dyDescent="0.45"/>
  <sheetData>
    <row r="1" spans="1:8" x14ac:dyDescent="0.45">
      <c r="A1" s="1" t="s">
        <v>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45">
      <c r="A2" t="s">
        <v>69</v>
      </c>
      <c r="B2" t="s">
        <v>24</v>
      </c>
      <c r="C2" t="s">
        <v>29</v>
      </c>
      <c r="D2">
        <v>22</v>
      </c>
      <c r="E2">
        <v>120</v>
      </c>
      <c r="F2">
        <v>7.5899999999999995E-2</v>
      </c>
      <c r="G2">
        <v>0.48630000000000001</v>
      </c>
      <c r="H2" t="s">
        <v>70</v>
      </c>
    </row>
    <row r="3" spans="1:8" x14ac:dyDescent="0.45">
      <c r="A3" t="s">
        <v>39</v>
      </c>
      <c r="B3" t="s">
        <v>24</v>
      </c>
      <c r="C3" t="s">
        <v>29</v>
      </c>
      <c r="D3">
        <v>1</v>
      </c>
      <c r="E3">
        <v>120</v>
      </c>
      <c r="F3">
        <v>7.5899999999999995E-2</v>
      </c>
      <c r="G3">
        <v>0.48630000000000001</v>
      </c>
      <c r="H3" t="s">
        <v>70</v>
      </c>
    </row>
    <row r="4" spans="1:8" x14ac:dyDescent="0.45">
      <c r="A4" t="s">
        <v>39</v>
      </c>
      <c r="B4" t="s">
        <v>29</v>
      </c>
      <c r="C4" t="s">
        <v>38</v>
      </c>
      <c r="D4">
        <v>2</v>
      </c>
      <c r="E4">
        <v>350</v>
      </c>
      <c r="F4">
        <v>0.2215</v>
      </c>
      <c r="G4">
        <v>1.4185000000000001</v>
      </c>
      <c r="H4" t="s">
        <v>70</v>
      </c>
    </row>
    <row r="5" spans="1:8" x14ac:dyDescent="0.45">
      <c r="A5" t="s">
        <v>39</v>
      </c>
      <c r="B5" t="s">
        <v>38</v>
      </c>
      <c r="C5" t="s">
        <v>29</v>
      </c>
      <c r="D5">
        <v>6</v>
      </c>
      <c r="E5">
        <v>350</v>
      </c>
      <c r="F5">
        <v>0.2215</v>
      </c>
      <c r="G5">
        <v>1.4185000000000001</v>
      </c>
      <c r="H5" t="s">
        <v>70</v>
      </c>
    </row>
    <row r="6" spans="1:8" x14ac:dyDescent="0.45">
      <c r="A6" t="s">
        <v>39</v>
      </c>
      <c r="B6" t="s">
        <v>29</v>
      </c>
      <c r="C6" t="s">
        <v>24</v>
      </c>
      <c r="D6">
        <v>7</v>
      </c>
      <c r="E6">
        <v>120</v>
      </c>
      <c r="F6">
        <v>7.5899999999999995E-2</v>
      </c>
      <c r="G6">
        <v>0.48630000000000001</v>
      </c>
      <c r="H6" t="s">
        <v>70</v>
      </c>
    </row>
    <row r="7" spans="1:8" x14ac:dyDescent="0.45">
      <c r="A7" t="s">
        <v>39</v>
      </c>
      <c r="B7" t="s">
        <v>24</v>
      </c>
      <c r="C7" t="s">
        <v>29</v>
      </c>
      <c r="D7">
        <v>9</v>
      </c>
      <c r="E7">
        <v>120</v>
      </c>
      <c r="F7">
        <v>7.5899999999999995E-2</v>
      </c>
      <c r="G7">
        <v>0.48630000000000001</v>
      </c>
      <c r="H7" t="s">
        <v>70</v>
      </c>
    </row>
    <row r="8" spans="1:8" x14ac:dyDescent="0.45">
      <c r="A8" t="s">
        <v>39</v>
      </c>
      <c r="B8" t="s">
        <v>29</v>
      </c>
      <c r="C8" t="s">
        <v>24</v>
      </c>
      <c r="D8">
        <v>11</v>
      </c>
      <c r="E8">
        <v>120</v>
      </c>
      <c r="F8">
        <v>7.5899999999999995E-2</v>
      </c>
      <c r="G8">
        <v>0.48630000000000001</v>
      </c>
      <c r="H8" t="s">
        <v>70</v>
      </c>
    </row>
    <row r="9" spans="1:8" x14ac:dyDescent="0.45">
      <c r="A9" t="s">
        <v>39</v>
      </c>
      <c r="B9" t="s">
        <v>24</v>
      </c>
      <c r="C9" t="s">
        <v>29</v>
      </c>
      <c r="D9">
        <v>24</v>
      </c>
      <c r="E9">
        <v>120</v>
      </c>
      <c r="F9">
        <v>7.5899999999999995E-2</v>
      </c>
      <c r="G9">
        <v>0.48630000000000001</v>
      </c>
      <c r="H9" t="s">
        <v>70</v>
      </c>
    </row>
    <row r="10" spans="1:8" x14ac:dyDescent="0.45">
      <c r="A10" t="s">
        <v>33</v>
      </c>
      <c r="B10" t="s">
        <v>24</v>
      </c>
      <c r="C10" t="s">
        <v>45</v>
      </c>
      <c r="D10">
        <v>8</v>
      </c>
      <c r="E10">
        <v>500</v>
      </c>
      <c r="F10">
        <v>0.3165</v>
      </c>
      <c r="G10">
        <v>2.0265</v>
      </c>
      <c r="H10" t="s">
        <v>70</v>
      </c>
    </row>
    <row r="11" spans="1:8" x14ac:dyDescent="0.45">
      <c r="A11" t="s">
        <v>33</v>
      </c>
      <c r="B11" t="s">
        <v>45</v>
      </c>
      <c r="C11" t="s">
        <v>24</v>
      </c>
      <c r="D11">
        <v>14</v>
      </c>
      <c r="E11">
        <v>500</v>
      </c>
      <c r="F11">
        <v>0.3165</v>
      </c>
      <c r="G11">
        <v>2.0265</v>
      </c>
      <c r="H11" t="s">
        <v>70</v>
      </c>
    </row>
    <row r="12" spans="1:8" x14ac:dyDescent="0.45">
      <c r="A12" t="s">
        <v>33</v>
      </c>
      <c r="B12" t="s">
        <v>24</v>
      </c>
      <c r="C12" t="s">
        <v>32</v>
      </c>
      <c r="D12">
        <v>22</v>
      </c>
      <c r="E12">
        <v>95</v>
      </c>
      <c r="F12">
        <v>6.0100000000000001E-2</v>
      </c>
      <c r="G12">
        <v>0.38500000000000001</v>
      </c>
      <c r="H12" t="s">
        <v>70</v>
      </c>
    </row>
    <row r="13" spans="1:8" x14ac:dyDescent="0.45">
      <c r="A13" t="s">
        <v>33</v>
      </c>
      <c r="B13" t="s">
        <v>32</v>
      </c>
      <c r="C13" t="s">
        <v>29</v>
      </c>
      <c r="D13">
        <v>24</v>
      </c>
      <c r="E13">
        <v>25</v>
      </c>
      <c r="F13">
        <v>1.5800000000000002E-2</v>
      </c>
      <c r="G13">
        <v>0.1013</v>
      </c>
      <c r="H13" t="s">
        <v>70</v>
      </c>
    </row>
    <row r="14" spans="1:8" x14ac:dyDescent="0.45">
      <c r="A14" t="s">
        <v>44</v>
      </c>
      <c r="B14" t="s">
        <v>46</v>
      </c>
      <c r="C14" t="s">
        <v>28</v>
      </c>
      <c r="D14">
        <v>1</v>
      </c>
      <c r="E14">
        <v>260</v>
      </c>
      <c r="F14">
        <v>0.1646</v>
      </c>
      <c r="G14">
        <v>1.0538000000000001</v>
      </c>
      <c r="H14" t="s">
        <v>70</v>
      </c>
    </row>
    <row r="15" spans="1:8" x14ac:dyDescent="0.45">
      <c r="A15" t="s">
        <v>44</v>
      </c>
      <c r="B15" t="s">
        <v>28</v>
      </c>
      <c r="C15" t="s">
        <v>22</v>
      </c>
      <c r="D15">
        <v>2</v>
      </c>
      <c r="E15">
        <v>55</v>
      </c>
      <c r="F15">
        <v>3.4799999999999998E-2</v>
      </c>
      <c r="G15">
        <v>0.22289999999999999</v>
      </c>
      <c r="H15" t="s">
        <v>70</v>
      </c>
    </row>
    <row r="16" spans="1:8" x14ac:dyDescent="0.45">
      <c r="A16" t="s">
        <v>44</v>
      </c>
      <c r="B16" t="s">
        <v>22</v>
      </c>
      <c r="C16" t="s">
        <v>28</v>
      </c>
      <c r="D16">
        <v>3</v>
      </c>
      <c r="E16">
        <v>55</v>
      </c>
      <c r="F16">
        <v>3.4799999999999998E-2</v>
      </c>
      <c r="G16">
        <v>0.22289999999999999</v>
      </c>
      <c r="H16" t="s">
        <v>70</v>
      </c>
    </row>
    <row r="17" spans="1:8" x14ac:dyDescent="0.45">
      <c r="A17" t="s">
        <v>44</v>
      </c>
      <c r="B17" t="s">
        <v>28</v>
      </c>
      <c r="C17" t="s">
        <v>46</v>
      </c>
      <c r="D17">
        <v>6</v>
      </c>
      <c r="E17">
        <v>260</v>
      </c>
      <c r="F17">
        <v>0.1646</v>
      </c>
      <c r="G17">
        <v>1.0538000000000001</v>
      </c>
      <c r="H17" t="s">
        <v>70</v>
      </c>
    </row>
    <row r="18" spans="1:8" x14ac:dyDescent="0.45">
      <c r="A18" t="s">
        <v>44</v>
      </c>
      <c r="B18" t="s">
        <v>46</v>
      </c>
      <c r="C18" t="s">
        <v>49</v>
      </c>
      <c r="D18">
        <v>8</v>
      </c>
      <c r="E18">
        <v>110</v>
      </c>
      <c r="F18">
        <v>6.9599999999999995E-2</v>
      </c>
      <c r="G18">
        <v>0.44579999999999997</v>
      </c>
      <c r="H18" t="s">
        <v>70</v>
      </c>
    </row>
    <row r="19" spans="1:8" x14ac:dyDescent="0.45">
      <c r="A19" t="s">
        <v>44</v>
      </c>
      <c r="B19" t="s">
        <v>49</v>
      </c>
      <c r="C19" t="s">
        <v>43</v>
      </c>
      <c r="D19">
        <v>9</v>
      </c>
      <c r="E19">
        <v>160</v>
      </c>
      <c r="F19">
        <v>0.1013</v>
      </c>
      <c r="G19">
        <v>0.64850000000000008</v>
      </c>
      <c r="H19" t="s">
        <v>70</v>
      </c>
    </row>
    <row r="20" spans="1:8" x14ac:dyDescent="0.45">
      <c r="A20" t="s">
        <v>44</v>
      </c>
      <c r="B20" t="s">
        <v>43</v>
      </c>
      <c r="C20" t="s">
        <v>46</v>
      </c>
      <c r="D20">
        <v>14</v>
      </c>
      <c r="E20">
        <v>270</v>
      </c>
      <c r="F20">
        <v>0.1709</v>
      </c>
      <c r="G20">
        <v>1.0943000000000001</v>
      </c>
      <c r="H20" t="s">
        <v>70</v>
      </c>
    </row>
    <row r="21" spans="1:8" x14ac:dyDescent="0.45">
      <c r="A21" t="s">
        <v>44</v>
      </c>
      <c r="B21" t="s">
        <v>46</v>
      </c>
      <c r="C21" t="s">
        <v>49</v>
      </c>
      <c r="D21">
        <v>23</v>
      </c>
      <c r="E21">
        <v>110</v>
      </c>
      <c r="F21">
        <v>6.9599999999999995E-2</v>
      </c>
      <c r="G21">
        <v>0.44579999999999997</v>
      </c>
      <c r="H21" t="s">
        <v>70</v>
      </c>
    </row>
    <row r="22" spans="1:8" x14ac:dyDescent="0.45">
      <c r="A22" t="s">
        <v>27</v>
      </c>
      <c r="B22" t="s">
        <v>24</v>
      </c>
      <c r="C22" t="s">
        <v>28</v>
      </c>
      <c r="D22">
        <v>8</v>
      </c>
      <c r="E22">
        <v>140</v>
      </c>
      <c r="F22">
        <v>8.8599999999999998E-2</v>
      </c>
      <c r="G22">
        <v>0.56740000000000002</v>
      </c>
      <c r="H22" t="s">
        <v>70</v>
      </c>
    </row>
    <row r="23" spans="1:8" x14ac:dyDescent="0.45">
      <c r="A23" t="s">
        <v>27</v>
      </c>
      <c r="B23" t="s">
        <v>28</v>
      </c>
      <c r="C23" t="s">
        <v>31</v>
      </c>
      <c r="D23">
        <v>9</v>
      </c>
      <c r="E23">
        <v>115</v>
      </c>
      <c r="F23">
        <v>7.2800000000000004E-2</v>
      </c>
      <c r="G23">
        <v>0.46610000000000001</v>
      </c>
      <c r="H23" t="s">
        <v>70</v>
      </c>
    </row>
    <row r="24" spans="1:8" x14ac:dyDescent="0.45">
      <c r="A24" t="s">
        <v>27</v>
      </c>
      <c r="B24" t="s">
        <v>31</v>
      </c>
      <c r="C24" t="s">
        <v>26</v>
      </c>
      <c r="D24">
        <v>10</v>
      </c>
      <c r="E24">
        <v>140</v>
      </c>
      <c r="F24">
        <v>8.8599999999999998E-2</v>
      </c>
      <c r="G24">
        <v>0.56740000000000002</v>
      </c>
      <c r="H24" t="s">
        <v>70</v>
      </c>
    </row>
    <row r="25" spans="1:8" x14ac:dyDescent="0.45">
      <c r="A25" t="s">
        <v>27</v>
      </c>
      <c r="B25" t="s">
        <v>26</v>
      </c>
      <c r="C25" t="s">
        <v>22</v>
      </c>
      <c r="D25">
        <v>12</v>
      </c>
      <c r="E25">
        <v>30</v>
      </c>
      <c r="F25">
        <v>1.9E-2</v>
      </c>
      <c r="G25">
        <v>0.1216</v>
      </c>
      <c r="H25" t="s">
        <v>70</v>
      </c>
    </row>
    <row r="26" spans="1:8" x14ac:dyDescent="0.45">
      <c r="A26" t="s">
        <v>27</v>
      </c>
      <c r="B26" t="s">
        <v>22</v>
      </c>
      <c r="C26" t="s">
        <v>24</v>
      </c>
      <c r="D26">
        <v>13</v>
      </c>
      <c r="E26">
        <v>85</v>
      </c>
      <c r="F26">
        <v>5.3800000000000001E-2</v>
      </c>
      <c r="G26">
        <v>0.34449999999999997</v>
      </c>
      <c r="H26" t="s">
        <v>70</v>
      </c>
    </row>
    <row r="27" spans="1:8" x14ac:dyDescent="0.45">
      <c r="A27" t="s">
        <v>27</v>
      </c>
      <c r="B27" t="s">
        <v>24</v>
      </c>
      <c r="C27" t="s">
        <v>22</v>
      </c>
      <c r="D27">
        <v>16</v>
      </c>
      <c r="E27">
        <v>85</v>
      </c>
      <c r="F27">
        <v>5.3800000000000001E-2</v>
      </c>
      <c r="G27">
        <v>0.34449999999999997</v>
      </c>
      <c r="H27" t="s">
        <v>70</v>
      </c>
    </row>
    <row r="28" spans="1:8" x14ac:dyDescent="0.45">
      <c r="A28" t="s">
        <v>27</v>
      </c>
      <c r="B28" t="s">
        <v>22</v>
      </c>
      <c r="C28" t="s">
        <v>31</v>
      </c>
      <c r="D28">
        <v>17</v>
      </c>
      <c r="E28">
        <v>170</v>
      </c>
      <c r="F28">
        <v>0.1076</v>
      </c>
      <c r="G28">
        <v>0.68900000000000006</v>
      </c>
      <c r="H28" t="s">
        <v>70</v>
      </c>
    </row>
    <row r="29" spans="1:8" x14ac:dyDescent="0.45">
      <c r="A29" t="s">
        <v>27</v>
      </c>
      <c r="B29" t="s">
        <v>31</v>
      </c>
      <c r="C29" t="s">
        <v>28</v>
      </c>
      <c r="D29">
        <v>19</v>
      </c>
      <c r="E29">
        <v>115</v>
      </c>
      <c r="F29">
        <v>7.2800000000000004E-2</v>
      </c>
      <c r="G29">
        <v>0.46610000000000001</v>
      </c>
      <c r="H29" t="s">
        <v>70</v>
      </c>
    </row>
    <row r="30" spans="1:8" x14ac:dyDescent="0.45">
      <c r="A30" t="s">
        <v>27</v>
      </c>
      <c r="B30" t="s">
        <v>28</v>
      </c>
      <c r="C30" t="s">
        <v>24</v>
      </c>
      <c r="D30">
        <v>20</v>
      </c>
      <c r="E30">
        <v>140</v>
      </c>
      <c r="F30">
        <v>8.8599999999999998E-2</v>
      </c>
      <c r="G30">
        <v>0.56740000000000002</v>
      </c>
      <c r="H30" t="s">
        <v>70</v>
      </c>
    </row>
    <row r="31" spans="1:8" x14ac:dyDescent="0.45">
      <c r="A31" t="s">
        <v>37</v>
      </c>
      <c r="B31" t="s">
        <v>40</v>
      </c>
      <c r="C31" t="s">
        <v>36</v>
      </c>
      <c r="D31">
        <v>8</v>
      </c>
      <c r="E31">
        <v>200</v>
      </c>
      <c r="F31">
        <v>0.12659999999999999</v>
      </c>
      <c r="G31">
        <v>0.81059999999999999</v>
      </c>
      <c r="H31" t="s">
        <v>70</v>
      </c>
    </row>
    <row r="32" spans="1:8" x14ac:dyDescent="0.45">
      <c r="A32" t="s">
        <v>37</v>
      </c>
      <c r="B32" t="s">
        <v>36</v>
      </c>
      <c r="C32" t="s">
        <v>40</v>
      </c>
      <c r="D32">
        <v>12</v>
      </c>
      <c r="E32">
        <v>200</v>
      </c>
      <c r="F32">
        <v>0.12659999999999999</v>
      </c>
      <c r="G32">
        <v>0.81059999999999999</v>
      </c>
      <c r="H32" t="s">
        <v>70</v>
      </c>
    </row>
    <row r="33" spans="1:8" x14ac:dyDescent="0.45">
      <c r="A33" t="s">
        <v>37</v>
      </c>
      <c r="B33" t="s">
        <v>40</v>
      </c>
      <c r="C33" t="s">
        <v>41</v>
      </c>
      <c r="D33">
        <v>15</v>
      </c>
      <c r="E33">
        <v>210</v>
      </c>
      <c r="F33">
        <v>0.13289999999999999</v>
      </c>
      <c r="G33">
        <v>0.85109999999999997</v>
      </c>
      <c r="H33" t="s">
        <v>70</v>
      </c>
    </row>
    <row r="34" spans="1:8" x14ac:dyDescent="0.45">
      <c r="A34" t="s">
        <v>37</v>
      </c>
      <c r="B34" t="s">
        <v>41</v>
      </c>
      <c r="C34" t="s">
        <v>40</v>
      </c>
      <c r="D34">
        <v>17</v>
      </c>
      <c r="E34">
        <v>210</v>
      </c>
      <c r="F34">
        <v>0.13289999999999999</v>
      </c>
      <c r="G34">
        <v>0.85109999999999997</v>
      </c>
      <c r="H34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Costos</vt:lpstr>
      <vt:lpstr>Parametros</vt:lpstr>
      <vt:lpstr>Detalle Viajes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2026-01-04T17:11:47Z</dcterms:created>
  <dcterms:modified xsi:type="dcterms:W3CDTF">2026-01-04T17:37:15Z</dcterms:modified>
</cp:coreProperties>
</file>