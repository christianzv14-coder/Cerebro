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7" documentId="11_E8AE8BC4254C5BD7CED183F62B358AD3D210D3A3" xr6:coauthVersionLast="47" xr6:coauthVersionMax="47" xr10:uidLastSave="{0EB0F6F1-3F6D-44C2-835C-A1B318D56C8D}"/>
  <bookViews>
    <workbookView xWindow="-98" yWindow="-98" windowWidth="21795" windowHeight="12975" xr2:uid="{00000000-000D-0000-FFFF-FFFF00000000}"/>
  </bookViews>
  <sheets>
    <sheet name="Hoja1" sheetId="3" r:id="rId1"/>
    <sheet name="Analisis Brechas y Costos" sheetId="1" r:id="rId2"/>
    <sheet name="Explicacion Logica" sheetId="2" r:id="rId3"/>
  </sheets>
  <calcPr calcId="191029"/>
  <pivotCaches>
    <pivotCache cacheId="10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<sst xmlns="http://schemas.openxmlformats.org/spreadsheetml/2006/main" count="143" uniqueCount="50">
  <si>
    <t>Tecnico</t>
  </si>
  <si>
    <t>Ciudad</t>
  </si>
  <si>
    <t>Base</t>
  </si>
  <si>
    <t>Dia Inicio</t>
  </si>
  <si>
    <t>Dia Fin</t>
  </si>
  <si>
    <t>Duracion Calendario (Dias)</t>
  </si>
  <si>
    <t>Dias Activos (Pagados)</t>
  </si>
  <si>
    <t>Diferencia (Brecha)</t>
  </si>
  <si>
    <t>Costo Almuerzos (UF)</t>
  </si>
  <si>
    <t>Costo Alojamiento (UF)</t>
  </si>
  <si>
    <t>Ahorro Almuerzo x Brecha (UF)</t>
  </si>
  <si>
    <t>Ahorro Aloj x Brecha (UF)</t>
  </si>
  <si>
    <t>Comentario</t>
  </si>
  <si>
    <t>Carlos</t>
  </si>
  <si>
    <t>Rancagua</t>
  </si>
  <si>
    <t>Santiago</t>
  </si>
  <si>
    <t>Dias sin instalacion (Domingo/Descanso)</t>
  </si>
  <si>
    <t>Talca</t>
  </si>
  <si>
    <t>Jimmy</t>
  </si>
  <si>
    <t>Los Angeles</t>
  </si>
  <si>
    <t>Chillan</t>
  </si>
  <si>
    <t>Fabian D.</t>
  </si>
  <si>
    <t>Efrain</t>
  </si>
  <si>
    <t>Viña del Mar</t>
  </si>
  <si>
    <t>Wilmer</t>
  </si>
  <si>
    <t>San Fernando</t>
  </si>
  <si>
    <t>Orlando</t>
  </si>
  <si>
    <t>Calama</t>
  </si>
  <si>
    <t>San Antonio</t>
  </si>
  <si>
    <t>Continuo</t>
  </si>
  <si>
    <t>Concepcion</t>
  </si>
  <si>
    <t>San Felipe</t>
  </si>
  <si>
    <t>La Serena</t>
  </si>
  <si>
    <t>Temuco</t>
  </si>
  <si>
    <t>Luis</t>
  </si>
  <si>
    <t>Antofagasta</t>
  </si>
  <si>
    <t>Iquique</t>
  </si>
  <si>
    <t>Concepto</t>
  </si>
  <si>
    <t>Definicion</t>
  </si>
  <si>
    <t>Duracion Calendario</t>
  </si>
  <si>
    <t>Dias corridos desde que el tecnico llega hasta que se va.</t>
  </si>
  <si>
    <t>Dias donde efectivamente se realiza trabajo (Instalacion GPS). Base del cobro de Almuerzos.</t>
  </si>
  <si>
    <t>Dias de estadia muerta (viajes, domingos, holguras) que NO se cobran como almuerzo/dia trabajo.</t>
  </si>
  <si>
    <t>Costo Almuerzo</t>
  </si>
  <si>
    <t>0.5 UF por Dia Activo.</t>
  </si>
  <si>
    <t>Costo Alojamiento</t>
  </si>
  <si>
    <t>1.1 UF por Noche (Solo si Ciudad != Base).</t>
  </si>
  <si>
    <t>Total general</t>
  </si>
  <si>
    <t>Etiquetas de fila</t>
  </si>
  <si>
    <t>Suma de Dias Activos (Pagados)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</si>
</sst>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zam" refreshedDate="46026.99149965278" createdVersion="8" refreshedVersion="8" minRefreshableVersion="3" recordCount="25" xr:uid="{6970AE6A-C3A7-410C-81FA-A4C286E1B798}">
  <cacheSource type="worksheet">
    <worksheetSource ref="A1:M26" sheet="Analisis Brechas y Costos"/>
  </cacheSource>
  <cacheFields count="13">
    <cacheField name="Tecnico" numFmtId="0">
      <sharedItems/>
    </cacheField>
    <cacheField name="Ciudad" numFmtId="0">
      <sharedItems count="15">
        <s v="Rancagua"/>
        <s v="Talca"/>
        <s v="Los Angeles"/>
        <s v="Santiago"/>
        <s v="Viña del Mar"/>
        <s v="San Fernando"/>
        <s v="Chillan"/>
        <s v="Calama"/>
        <s v="San Antonio"/>
        <s v="Concepcion"/>
        <s v="San Felipe"/>
        <s v="La Serena"/>
        <s v="Temuco"/>
        <s v="Antofagasta"/>
        <s v="Iquique"/>
      </sharedItems>
    </cacheField>
    <cacheField name="Base" numFmtId="0">
      <sharedItems/>
    </cacheField>
    <cacheField name="Dia Inicio" numFmtId="0">
      <sharedItems containsSemiMixedTypes="0" containsString="0" containsNumber="1" containsInteger="1" minValue="1" maxValue="23"/>
    </cacheField>
    <cacheField name="Dia Fin" numFmtId="0">
      <sharedItems containsSemiMixedTypes="0" containsString="0" containsNumber="1" containsInteger="1" minValue="2" maxValue="24"/>
    </cacheField>
    <cacheField name="Duracion Calendario (Dias)" numFmtId="0">
      <sharedItems containsSemiMixedTypes="0" containsString="0" containsNumber="1" containsInteger="1" minValue="1" maxValue="19"/>
    </cacheField>
    <cacheField name="Dias Activos (Pagados)" numFmtId="0">
      <sharedItems containsSemiMixedTypes="0" containsString="0" containsNumber="1" containsInteger="1" minValue="1" maxValue="14"/>
    </cacheField>
    <cacheField name="Diferencia (Brecha)" numFmtId="0">
      <sharedItems containsSemiMixedTypes="0" containsString="0" containsNumber="1" containsInteger="1" minValue="0" maxValue="16"/>
    </cacheField>
    <cacheField name="Costo Almuerzos (UF)" numFmtId="0">
      <sharedItems containsSemiMixedTypes="0" containsString="0" containsNumber="1" minValue="0.5" maxValue="7"/>
    </cacheField>
    <cacheField name="Costo Alojamiento (UF)" numFmtId="0">
      <sharedItems containsSemiMixedTypes="0" containsString="0" containsNumber="1" minValue="0" maxValue="8.8000000000000007"/>
    </cacheField>
    <cacheField name="Ahorro Almuerzo x Brecha (UF)" numFmtId="0">
      <sharedItems containsSemiMixedTypes="0" containsString="0" containsNumber="1" minValue="0" maxValue="8"/>
    </cacheField>
    <cacheField name="Ahorro Aloj x Brecha (UF)" numFmtId="0">
      <sharedItems containsSemiMixedTypes="0" containsString="0" containsNumber="1" minValue="0" maxValue="17.600000000000001"/>
    </cacheField>
    <cacheField name="Comentar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Carlos"/>
    <x v="0"/>
    <s v="Santiago"/>
    <n v="1"/>
    <n v="18"/>
    <n v="18"/>
    <n v="2"/>
    <n v="16"/>
    <n v="1"/>
    <n v="2.2000000000000002"/>
    <n v="8"/>
    <n v="17.600000000000001"/>
    <s v="Dias sin instalacion (Domingo/Descanso)"/>
  </r>
  <r>
    <s v="Carlos"/>
    <x v="1"/>
    <s v="Santiago"/>
    <n v="2"/>
    <n v="17"/>
    <n v="16"/>
    <n v="3"/>
    <n v="13"/>
    <n v="1.5"/>
    <n v="3.3"/>
    <n v="6.5"/>
    <n v="14.3"/>
    <s v="Dias sin instalacion (Domingo/Descanso)"/>
  </r>
  <r>
    <s v="Jimmy"/>
    <x v="2"/>
    <s v="Chillan"/>
    <n v="9"/>
    <n v="24"/>
    <n v="16"/>
    <n v="3"/>
    <n v="13"/>
    <n v="1.5"/>
    <n v="3.3"/>
    <n v="6.5"/>
    <n v="14.3"/>
    <s v="Dias sin instalacion (Domingo/Descanso)"/>
  </r>
  <r>
    <s v="Carlos"/>
    <x v="3"/>
    <s v="Santiago"/>
    <n v="6"/>
    <n v="24"/>
    <n v="19"/>
    <n v="13"/>
    <n v="6"/>
    <n v="6.5"/>
    <n v="0"/>
    <n v="3"/>
    <n v="0"/>
    <s v="Dias sin instalacion (Domingo/Descanso)"/>
  </r>
  <r>
    <s v="Fabian D."/>
    <x v="3"/>
    <s v="Santiago"/>
    <n v="8"/>
    <n v="24"/>
    <n v="17"/>
    <n v="14"/>
    <n v="3"/>
    <n v="7"/>
    <n v="0"/>
    <n v="1.5"/>
    <n v="0"/>
    <s v="Dias sin instalacion (Domingo/Descanso)"/>
  </r>
  <r>
    <s v="Efrain"/>
    <x v="3"/>
    <s v="Santiago"/>
    <n v="1"/>
    <n v="8"/>
    <n v="8"/>
    <n v="6"/>
    <n v="2"/>
    <n v="3"/>
    <n v="0"/>
    <n v="1"/>
    <n v="0"/>
    <s v="Dias sin instalacion (Domingo/Descanso)"/>
  </r>
  <r>
    <s v="Efrain"/>
    <x v="4"/>
    <s v="Santiago"/>
    <n v="15"/>
    <n v="24"/>
    <n v="10"/>
    <n v="8"/>
    <n v="2"/>
    <n v="4"/>
    <n v="8.8000000000000007"/>
    <n v="1"/>
    <n v="2.2000000000000002"/>
    <s v="Dias sin instalacion (Domingo/Descanso)"/>
  </r>
  <r>
    <s v="Wilmer"/>
    <x v="3"/>
    <s v="Santiago"/>
    <n v="11"/>
    <n v="24"/>
    <n v="14"/>
    <n v="12"/>
    <n v="2"/>
    <n v="6"/>
    <n v="0"/>
    <n v="1"/>
    <n v="0"/>
    <s v="Dias sin instalacion (Domingo/Descanso)"/>
  </r>
  <r>
    <s v="Jimmy"/>
    <x v="5"/>
    <s v="Chillan"/>
    <n v="4"/>
    <n v="6"/>
    <n v="3"/>
    <n v="2"/>
    <n v="1"/>
    <n v="1"/>
    <n v="2.2000000000000002"/>
    <n v="0.5"/>
    <n v="1.1000000000000001"/>
    <s v="Dias sin instalacion (Domingo/Descanso)"/>
  </r>
  <r>
    <s v="Jimmy"/>
    <x v="6"/>
    <s v="Chillan"/>
    <n v="20"/>
    <n v="23"/>
    <n v="4"/>
    <n v="3"/>
    <n v="1"/>
    <n v="1.5"/>
    <n v="0"/>
    <n v="0.5"/>
    <n v="0"/>
    <s v="Dias sin instalacion (Domingo/Descanso)"/>
  </r>
  <r>
    <s v="Orlando"/>
    <x v="7"/>
    <s v="Calama"/>
    <n v="20"/>
    <n v="22"/>
    <n v="3"/>
    <n v="2"/>
    <n v="1"/>
    <n v="1"/>
    <n v="0"/>
    <n v="0.5"/>
    <n v="0"/>
    <s v="Dias sin instalacion (Domingo/Descanso)"/>
  </r>
  <r>
    <s v="Carlos"/>
    <x v="8"/>
    <s v="Santiago"/>
    <n v="4"/>
    <n v="5"/>
    <n v="2"/>
    <n v="2"/>
    <n v="0"/>
    <n v="1"/>
    <n v="2.2000000000000002"/>
    <n v="0"/>
    <n v="0"/>
    <s v="Continuo"/>
  </r>
  <r>
    <s v="Carlos"/>
    <x v="5"/>
    <s v="Santiago"/>
    <n v="16"/>
    <n v="16"/>
    <n v="1"/>
    <n v="1"/>
    <n v="0"/>
    <n v="0.5"/>
    <n v="1.1000000000000001"/>
    <n v="0"/>
    <n v="0"/>
    <s v="Continuo"/>
  </r>
  <r>
    <s v="Efrain"/>
    <x v="5"/>
    <s v="Santiago"/>
    <n v="2"/>
    <n v="2"/>
    <n v="1"/>
    <n v="1"/>
    <n v="0"/>
    <n v="0.5"/>
    <n v="1.1000000000000001"/>
    <n v="0"/>
    <n v="0"/>
    <s v="Continuo"/>
  </r>
  <r>
    <s v="Efrain"/>
    <x v="9"/>
    <s v="Santiago"/>
    <n v="9"/>
    <n v="13"/>
    <n v="5"/>
    <n v="5"/>
    <n v="0"/>
    <n v="2.5"/>
    <n v="5.5"/>
    <n v="0"/>
    <n v="0"/>
    <s v="Continuo"/>
  </r>
  <r>
    <s v="Efrain"/>
    <x v="10"/>
    <s v="Santiago"/>
    <n v="22"/>
    <n v="22"/>
    <n v="1"/>
    <n v="1"/>
    <n v="0"/>
    <n v="0.5"/>
    <n v="1.1000000000000001"/>
    <n v="0"/>
    <n v="0"/>
    <s v="Continuo"/>
  </r>
  <r>
    <s v="Fabian D."/>
    <x v="11"/>
    <s v="Santiago"/>
    <n v="1"/>
    <n v="5"/>
    <n v="5"/>
    <n v="5"/>
    <n v="0"/>
    <n v="2.5"/>
    <n v="5.5"/>
    <n v="0"/>
    <n v="0"/>
    <s v="Continuo"/>
  </r>
  <r>
    <s v="Fabian D."/>
    <x v="4"/>
    <s v="Santiago"/>
    <n v="6"/>
    <n v="6"/>
    <n v="1"/>
    <n v="1"/>
    <n v="0"/>
    <n v="0.5"/>
    <n v="1.1000000000000001"/>
    <n v="0"/>
    <n v="0"/>
    <s v="Continuo"/>
  </r>
  <r>
    <s v="Fabian D."/>
    <x v="10"/>
    <s v="Santiago"/>
    <n v="10"/>
    <n v="10"/>
    <n v="1"/>
    <n v="1"/>
    <n v="0"/>
    <n v="0.5"/>
    <n v="1.1000000000000001"/>
    <n v="0"/>
    <n v="0"/>
    <s v="Continuo"/>
  </r>
  <r>
    <s v="Jimmy"/>
    <x v="0"/>
    <s v="Chillan"/>
    <n v="5"/>
    <n v="5"/>
    <n v="1"/>
    <n v="1"/>
    <n v="0"/>
    <n v="0.5"/>
    <n v="1.1000000000000001"/>
    <n v="0"/>
    <n v="0"/>
    <s v="Continuo"/>
  </r>
  <r>
    <s v="Jimmy"/>
    <x v="12"/>
    <s v="Chillan"/>
    <n v="10"/>
    <n v="15"/>
    <n v="6"/>
    <n v="6"/>
    <n v="0"/>
    <n v="3"/>
    <n v="6.6000000000000014"/>
    <n v="0"/>
    <n v="0"/>
    <s v="Continuo"/>
  </r>
  <r>
    <s v="Jimmy"/>
    <x v="9"/>
    <s v="Chillan"/>
    <n v="16"/>
    <n v="16"/>
    <n v="1"/>
    <n v="1"/>
    <n v="0"/>
    <n v="0.5"/>
    <n v="1.1000000000000001"/>
    <n v="0"/>
    <n v="0"/>
    <s v="Continuo"/>
  </r>
  <r>
    <s v="Luis"/>
    <x v="5"/>
    <s v="Santiago"/>
    <n v="5"/>
    <n v="5"/>
    <n v="1"/>
    <n v="1"/>
    <n v="0"/>
    <n v="0.5"/>
    <n v="1.1000000000000001"/>
    <n v="0"/>
    <n v="0"/>
    <s v="Continuo"/>
  </r>
  <r>
    <s v="Orlando"/>
    <x v="13"/>
    <s v="Calama"/>
    <n v="1"/>
    <n v="4"/>
    <n v="4"/>
    <n v="4"/>
    <n v="0"/>
    <n v="2"/>
    <n v="4.4000000000000004"/>
    <n v="0"/>
    <n v="0"/>
    <s v="Continuo"/>
  </r>
  <r>
    <s v="Orlando"/>
    <x v="14"/>
    <s v="Calama"/>
    <n v="23"/>
    <n v="24"/>
    <n v="2"/>
    <n v="2"/>
    <n v="0"/>
    <n v="1"/>
    <n v="2.2000000000000002"/>
    <n v="0"/>
    <n v="0"/>
    <s v="Continu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2CAFB-D238-4D90-93AF-7D8BB46D0161}" name="TablaDinámica5" cacheId="10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9" firstHeaderRow="1" firstDataRow="1" firstDataCol="1"/>
  <pivotFields count="13">
    <pivotField showAll="0"/>
    <pivotField axis="axisRow" showAll="0">
      <items count="16">
        <item x="13"/>
        <item x="7"/>
        <item x="6"/>
        <item x="9"/>
        <item x="14"/>
        <item x="11"/>
        <item x="2"/>
        <item x="0"/>
        <item x="8"/>
        <item x="10"/>
        <item x="5"/>
        <item x="3"/>
        <item x="1"/>
        <item x="12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a de Dias Activos (Pagados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56E0-191F-4597-9387-CD7E3CC3A7B2}">
  <dimension ref="A3:B19"/>
  <sheetViews>
    <sheetView tabSelected="1" workbookViewId="0">
      <selection activeCell="B11" sqref="B11"/>
    </sheetView>
  </sheetViews>
  <sheetFormatPr baseColWidth="10" defaultRowHeight="14.25" x14ac:dyDescent="0.45"/>
  <cols>
    <col min="1" max="1" width="16" bestFit="1" customWidth="1"/>
    <col min="2" max="2" width="26.6640625" bestFit="1" customWidth="1"/>
    <col min="3" max="15" width="20.59765625" bestFit="1" customWidth="1"/>
    <col min="16" max="16" width="11.33203125" bestFit="1" customWidth="1"/>
  </cols>
  <sheetData>
    <row r="3" spans="1:2" x14ac:dyDescent="0.45">
      <c r="A3" s="2" t="s">
        <v>48</v>
      </c>
      <c r="B3" t="s">
        <v>49</v>
      </c>
    </row>
    <row r="4" spans="1:2" x14ac:dyDescent="0.45">
      <c r="A4" s="3" t="s">
        <v>35</v>
      </c>
      <c r="B4" s="4">
        <v>4</v>
      </c>
    </row>
    <row r="5" spans="1:2" x14ac:dyDescent="0.45">
      <c r="A5" s="3" t="s">
        <v>27</v>
      </c>
      <c r="B5" s="4">
        <v>2</v>
      </c>
    </row>
    <row r="6" spans="1:2" x14ac:dyDescent="0.45">
      <c r="A6" s="3" t="s">
        <v>20</v>
      </c>
      <c r="B6" s="4">
        <v>3</v>
      </c>
    </row>
    <row r="7" spans="1:2" x14ac:dyDescent="0.45">
      <c r="A7" s="3" t="s">
        <v>30</v>
      </c>
      <c r="B7" s="4">
        <v>6</v>
      </c>
    </row>
    <row r="8" spans="1:2" x14ac:dyDescent="0.45">
      <c r="A8" s="3" t="s">
        <v>36</v>
      </c>
      <c r="B8" s="4">
        <v>2</v>
      </c>
    </row>
    <row r="9" spans="1:2" x14ac:dyDescent="0.45">
      <c r="A9" s="3" t="s">
        <v>32</v>
      </c>
      <c r="B9" s="4">
        <v>5</v>
      </c>
    </row>
    <row r="10" spans="1:2" x14ac:dyDescent="0.45">
      <c r="A10" s="3" t="s">
        <v>19</v>
      </c>
      <c r="B10" s="4">
        <v>3</v>
      </c>
    </row>
    <row r="11" spans="1:2" x14ac:dyDescent="0.45">
      <c r="A11" s="3" t="s">
        <v>14</v>
      </c>
      <c r="B11" s="4">
        <v>3</v>
      </c>
    </row>
    <row r="12" spans="1:2" x14ac:dyDescent="0.45">
      <c r="A12" s="3" t="s">
        <v>28</v>
      </c>
      <c r="B12" s="4">
        <v>2</v>
      </c>
    </row>
    <row r="13" spans="1:2" x14ac:dyDescent="0.45">
      <c r="A13" s="3" t="s">
        <v>31</v>
      </c>
      <c r="B13" s="4">
        <v>2</v>
      </c>
    </row>
    <row r="14" spans="1:2" x14ac:dyDescent="0.45">
      <c r="A14" s="3" t="s">
        <v>25</v>
      </c>
      <c r="B14" s="4">
        <v>5</v>
      </c>
    </row>
    <row r="15" spans="1:2" x14ac:dyDescent="0.45">
      <c r="A15" s="3" t="s">
        <v>15</v>
      </c>
      <c r="B15" s="4">
        <v>45</v>
      </c>
    </row>
    <row r="16" spans="1:2" x14ac:dyDescent="0.45">
      <c r="A16" s="3" t="s">
        <v>17</v>
      </c>
      <c r="B16" s="4">
        <v>3</v>
      </c>
    </row>
    <row r="17" spans="1:2" x14ac:dyDescent="0.45">
      <c r="A17" s="3" t="s">
        <v>33</v>
      </c>
      <c r="B17" s="4">
        <v>6</v>
      </c>
    </row>
    <row r="18" spans="1:2" x14ac:dyDescent="0.45">
      <c r="A18" s="3" t="s">
        <v>23</v>
      </c>
      <c r="B18" s="4">
        <v>9</v>
      </c>
    </row>
    <row r="19" spans="1:2" x14ac:dyDescent="0.45">
      <c r="A19" s="3" t="s">
        <v>47</v>
      </c>
      <c r="B19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workbookViewId="0">
      <selection activeCell="B2" sqref="B2"/>
    </sheetView>
  </sheetViews>
  <sheetFormatPr baseColWidth="10" defaultColWidth="9.06640625" defaultRowHeight="14.25" x14ac:dyDescent="0.45"/>
  <cols>
    <col min="1" max="1" width="8.3984375" bestFit="1" customWidth="1"/>
    <col min="2" max="2" width="12" bestFit="1" customWidth="1"/>
    <col min="3" max="3" width="7.73046875" bestFit="1" customWidth="1"/>
    <col min="4" max="4" width="8.265625" bestFit="1" customWidth="1"/>
    <col min="5" max="5" width="6.265625" bestFit="1" customWidth="1"/>
    <col min="6" max="6" width="22.73046875" bestFit="1" customWidth="1"/>
    <col min="7" max="7" width="19.19921875" bestFit="1" customWidth="1"/>
    <col min="8" max="8" width="16.3984375" bestFit="1" customWidth="1"/>
    <col min="9" max="9" width="18.46484375" bestFit="1" customWidth="1"/>
    <col min="10" max="10" width="19.86328125" bestFit="1" customWidth="1"/>
    <col min="11" max="11" width="26.265625" bestFit="1" customWidth="1"/>
    <col min="12" max="12" width="21.59765625" bestFit="1" customWidth="1"/>
    <col min="13" max="13" width="34.132812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 t="s">
        <v>14</v>
      </c>
      <c r="C2" t="s">
        <v>15</v>
      </c>
      <c r="D2">
        <v>1</v>
      </c>
      <c r="E2">
        <v>18</v>
      </c>
      <c r="F2">
        <v>18</v>
      </c>
      <c r="G2">
        <v>2</v>
      </c>
      <c r="H2">
        <v>16</v>
      </c>
      <c r="I2">
        <v>1</v>
      </c>
      <c r="J2">
        <v>2.2000000000000002</v>
      </c>
      <c r="K2">
        <v>8</v>
      </c>
      <c r="L2">
        <v>17.600000000000001</v>
      </c>
      <c r="M2" t="s">
        <v>16</v>
      </c>
    </row>
    <row r="3" spans="1:13" x14ac:dyDescent="0.45">
      <c r="A3" t="s">
        <v>13</v>
      </c>
      <c r="B3" t="s">
        <v>17</v>
      </c>
      <c r="C3" t="s">
        <v>15</v>
      </c>
      <c r="D3">
        <v>2</v>
      </c>
      <c r="E3">
        <v>17</v>
      </c>
      <c r="F3">
        <v>16</v>
      </c>
      <c r="G3">
        <v>3</v>
      </c>
      <c r="H3">
        <v>13</v>
      </c>
      <c r="I3">
        <v>1.5</v>
      </c>
      <c r="J3">
        <v>3.3</v>
      </c>
      <c r="K3">
        <v>6.5</v>
      </c>
      <c r="L3">
        <v>14.3</v>
      </c>
      <c r="M3" t="s">
        <v>16</v>
      </c>
    </row>
    <row r="4" spans="1:13" x14ac:dyDescent="0.45">
      <c r="A4" t="s">
        <v>18</v>
      </c>
      <c r="B4" t="s">
        <v>19</v>
      </c>
      <c r="C4" t="s">
        <v>20</v>
      </c>
      <c r="D4">
        <v>9</v>
      </c>
      <c r="E4">
        <v>24</v>
      </c>
      <c r="F4">
        <v>16</v>
      </c>
      <c r="G4">
        <v>3</v>
      </c>
      <c r="H4">
        <v>13</v>
      </c>
      <c r="I4">
        <v>1.5</v>
      </c>
      <c r="J4">
        <v>3.3</v>
      </c>
      <c r="K4">
        <v>6.5</v>
      </c>
      <c r="L4">
        <v>14.3</v>
      </c>
      <c r="M4" t="s">
        <v>16</v>
      </c>
    </row>
    <row r="5" spans="1:13" x14ac:dyDescent="0.45">
      <c r="A5" t="s">
        <v>13</v>
      </c>
      <c r="B5" t="s">
        <v>15</v>
      </c>
      <c r="C5" t="s">
        <v>15</v>
      </c>
      <c r="D5">
        <v>6</v>
      </c>
      <c r="E5">
        <v>24</v>
      </c>
      <c r="F5">
        <v>19</v>
      </c>
      <c r="G5">
        <v>13</v>
      </c>
      <c r="H5">
        <v>6</v>
      </c>
      <c r="I5">
        <v>6.5</v>
      </c>
      <c r="J5">
        <v>0</v>
      </c>
      <c r="K5">
        <v>3</v>
      </c>
      <c r="L5">
        <v>0</v>
      </c>
      <c r="M5" t="s">
        <v>16</v>
      </c>
    </row>
    <row r="6" spans="1:13" x14ac:dyDescent="0.45">
      <c r="A6" t="s">
        <v>21</v>
      </c>
      <c r="B6" t="s">
        <v>15</v>
      </c>
      <c r="C6" t="s">
        <v>15</v>
      </c>
      <c r="D6">
        <v>8</v>
      </c>
      <c r="E6">
        <v>24</v>
      </c>
      <c r="F6">
        <v>17</v>
      </c>
      <c r="G6">
        <v>14</v>
      </c>
      <c r="H6">
        <v>3</v>
      </c>
      <c r="I6">
        <v>7</v>
      </c>
      <c r="J6">
        <v>0</v>
      </c>
      <c r="K6">
        <v>1.5</v>
      </c>
      <c r="L6">
        <v>0</v>
      </c>
      <c r="M6" t="s">
        <v>16</v>
      </c>
    </row>
    <row r="7" spans="1:13" x14ac:dyDescent="0.45">
      <c r="A7" t="s">
        <v>22</v>
      </c>
      <c r="B7" t="s">
        <v>15</v>
      </c>
      <c r="C7" t="s">
        <v>15</v>
      </c>
      <c r="D7">
        <v>1</v>
      </c>
      <c r="E7">
        <v>8</v>
      </c>
      <c r="F7">
        <v>8</v>
      </c>
      <c r="G7">
        <v>6</v>
      </c>
      <c r="H7">
        <v>2</v>
      </c>
      <c r="I7">
        <v>3</v>
      </c>
      <c r="J7">
        <v>0</v>
      </c>
      <c r="K7">
        <v>1</v>
      </c>
      <c r="L7">
        <v>0</v>
      </c>
      <c r="M7" t="s">
        <v>16</v>
      </c>
    </row>
    <row r="8" spans="1:13" x14ac:dyDescent="0.45">
      <c r="A8" t="s">
        <v>22</v>
      </c>
      <c r="B8" t="s">
        <v>23</v>
      </c>
      <c r="C8" t="s">
        <v>15</v>
      </c>
      <c r="D8">
        <v>15</v>
      </c>
      <c r="E8">
        <v>24</v>
      </c>
      <c r="F8">
        <v>10</v>
      </c>
      <c r="G8">
        <v>8</v>
      </c>
      <c r="H8">
        <v>2</v>
      </c>
      <c r="I8">
        <v>4</v>
      </c>
      <c r="J8">
        <v>8.8000000000000007</v>
      </c>
      <c r="K8">
        <v>1</v>
      </c>
      <c r="L8">
        <v>2.2000000000000002</v>
      </c>
      <c r="M8" t="s">
        <v>16</v>
      </c>
    </row>
    <row r="9" spans="1:13" x14ac:dyDescent="0.45">
      <c r="A9" t="s">
        <v>24</v>
      </c>
      <c r="B9" t="s">
        <v>15</v>
      </c>
      <c r="C9" t="s">
        <v>15</v>
      </c>
      <c r="D9">
        <v>11</v>
      </c>
      <c r="E9">
        <v>24</v>
      </c>
      <c r="F9">
        <v>14</v>
      </c>
      <c r="G9">
        <v>12</v>
      </c>
      <c r="H9">
        <v>2</v>
      </c>
      <c r="I9">
        <v>6</v>
      </c>
      <c r="J9">
        <v>0</v>
      </c>
      <c r="K9">
        <v>1</v>
      </c>
      <c r="L9">
        <v>0</v>
      </c>
      <c r="M9" t="s">
        <v>16</v>
      </c>
    </row>
    <row r="10" spans="1:13" x14ac:dyDescent="0.45">
      <c r="A10" t="s">
        <v>18</v>
      </c>
      <c r="B10" t="s">
        <v>25</v>
      </c>
      <c r="C10" t="s">
        <v>20</v>
      </c>
      <c r="D10">
        <v>4</v>
      </c>
      <c r="E10">
        <v>6</v>
      </c>
      <c r="F10">
        <v>3</v>
      </c>
      <c r="G10">
        <v>2</v>
      </c>
      <c r="H10">
        <v>1</v>
      </c>
      <c r="I10">
        <v>1</v>
      </c>
      <c r="J10">
        <v>2.2000000000000002</v>
      </c>
      <c r="K10">
        <v>0.5</v>
      </c>
      <c r="L10">
        <v>1.1000000000000001</v>
      </c>
      <c r="M10" t="s">
        <v>16</v>
      </c>
    </row>
    <row r="11" spans="1:13" x14ac:dyDescent="0.45">
      <c r="A11" t="s">
        <v>18</v>
      </c>
      <c r="B11" t="s">
        <v>20</v>
      </c>
      <c r="C11" t="s">
        <v>20</v>
      </c>
      <c r="D11">
        <v>20</v>
      </c>
      <c r="E11">
        <v>23</v>
      </c>
      <c r="F11">
        <v>4</v>
      </c>
      <c r="G11">
        <v>3</v>
      </c>
      <c r="H11">
        <v>1</v>
      </c>
      <c r="I11">
        <v>1.5</v>
      </c>
      <c r="J11">
        <v>0</v>
      </c>
      <c r="K11">
        <v>0.5</v>
      </c>
      <c r="L11">
        <v>0</v>
      </c>
      <c r="M11" t="s">
        <v>16</v>
      </c>
    </row>
    <row r="12" spans="1:13" x14ac:dyDescent="0.45">
      <c r="A12" t="s">
        <v>26</v>
      </c>
      <c r="B12" t="s">
        <v>27</v>
      </c>
      <c r="C12" t="s">
        <v>27</v>
      </c>
      <c r="D12">
        <v>20</v>
      </c>
      <c r="E12">
        <v>22</v>
      </c>
      <c r="F12">
        <v>3</v>
      </c>
      <c r="G12">
        <v>2</v>
      </c>
      <c r="H12">
        <v>1</v>
      </c>
      <c r="I12">
        <v>1</v>
      </c>
      <c r="J12">
        <v>0</v>
      </c>
      <c r="K12">
        <v>0.5</v>
      </c>
      <c r="L12">
        <v>0</v>
      </c>
      <c r="M12" t="s">
        <v>16</v>
      </c>
    </row>
    <row r="13" spans="1:13" x14ac:dyDescent="0.45">
      <c r="A13" t="s">
        <v>13</v>
      </c>
      <c r="B13" t="s">
        <v>28</v>
      </c>
      <c r="C13" t="s">
        <v>15</v>
      </c>
      <c r="D13">
        <v>4</v>
      </c>
      <c r="E13">
        <v>5</v>
      </c>
      <c r="F13">
        <v>2</v>
      </c>
      <c r="G13">
        <v>2</v>
      </c>
      <c r="H13">
        <v>0</v>
      </c>
      <c r="I13">
        <v>1</v>
      </c>
      <c r="J13">
        <v>2.2000000000000002</v>
      </c>
      <c r="K13">
        <v>0</v>
      </c>
      <c r="L13">
        <v>0</v>
      </c>
      <c r="M13" t="s">
        <v>29</v>
      </c>
    </row>
    <row r="14" spans="1:13" x14ac:dyDescent="0.45">
      <c r="A14" t="s">
        <v>13</v>
      </c>
      <c r="B14" t="s">
        <v>25</v>
      </c>
      <c r="C14" t="s">
        <v>15</v>
      </c>
      <c r="D14">
        <v>16</v>
      </c>
      <c r="E14">
        <v>16</v>
      </c>
      <c r="F14">
        <v>1</v>
      </c>
      <c r="G14">
        <v>1</v>
      </c>
      <c r="H14">
        <v>0</v>
      </c>
      <c r="I14">
        <v>0.5</v>
      </c>
      <c r="J14">
        <v>1.1000000000000001</v>
      </c>
      <c r="K14">
        <v>0</v>
      </c>
      <c r="L14">
        <v>0</v>
      </c>
      <c r="M14" t="s">
        <v>29</v>
      </c>
    </row>
    <row r="15" spans="1:13" x14ac:dyDescent="0.45">
      <c r="A15" t="s">
        <v>22</v>
      </c>
      <c r="B15" t="s">
        <v>25</v>
      </c>
      <c r="C15" t="s">
        <v>15</v>
      </c>
      <c r="D15">
        <v>2</v>
      </c>
      <c r="E15">
        <v>2</v>
      </c>
      <c r="F15">
        <v>1</v>
      </c>
      <c r="G15">
        <v>1</v>
      </c>
      <c r="H15">
        <v>0</v>
      </c>
      <c r="I15">
        <v>0.5</v>
      </c>
      <c r="J15">
        <v>1.1000000000000001</v>
      </c>
      <c r="K15">
        <v>0</v>
      </c>
      <c r="L15">
        <v>0</v>
      </c>
      <c r="M15" t="s">
        <v>29</v>
      </c>
    </row>
    <row r="16" spans="1:13" x14ac:dyDescent="0.45">
      <c r="A16" t="s">
        <v>22</v>
      </c>
      <c r="B16" t="s">
        <v>30</v>
      </c>
      <c r="C16" t="s">
        <v>15</v>
      </c>
      <c r="D16">
        <v>9</v>
      </c>
      <c r="E16">
        <v>13</v>
      </c>
      <c r="F16">
        <v>5</v>
      </c>
      <c r="G16">
        <v>5</v>
      </c>
      <c r="H16">
        <v>0</v>
      </c>
      <c r="I16">
        <v>2.5</v>
      </c>
      <c r="J16">
        <v>5.5</v>
      </c>
      <c r="K16">
        <v>0</v>
      </c>
      <c r="L16">
        <v>0</v>
      </c>
      <c r="M16" t="s">
        <v>29</v>
      </c>
    </row>
    <row r="17" spans="1:13" x14ac:dyDescent="0.45">
      <c r="A17" t="s">
        <v>22</v>
      </c>
      <c r="B17" t="s">
        <v>31</v>
      </c>
      <c r="C17" t="s">
        <v>15</v>
      </c>
      <c r="D17">
        <v>22</v>
      </c>
      <c r="E17">
        <v>22</v>
      </c>
      <c r="F17">
        <v>1</v>
      </c>
      <c r="G17">
        <v>1</v>
      </c>
      <c r="H17">
        <v>0</v>
      </c>
      <c r="I17">
        <v>0.5</v>
      </c>
      <c r="J17">
        <v>1.1000000000000001</v>
      </c>
      <c r="K17">
        <v>0</v>
      </c>
      <c r="L17">
        <v>0</v>
      </c>
      <c r="M17" t="s">
        <v>29</v>
      </c>
    </row>
    <row r="18" spans="1:13" x14ac:dyDescent="0.45">
      <c r="A18" t="s">
        <v>21</v>
      </c>
      <c r="B18" t="s">
        <v>32</v>
      </c>
      <c r="C18" t="s">
        <v>15</v>
      </c>
      <c r="D18">
        <v>1</v>
      </c>
      <c r="E18">
        <v>5</v>
      </c>
      <c r="F18">
        <v>5</v>
      </c>
      <c r="G18">
        <v>5</v>
      </c>
      <c r="H18">
        <v>0</v>
      </c>
      <c r="I18">
        <v>2.5</v>
      </c>
      <c r="J18">
        <v>5.5</v>
      </c>
      <c r="K18">
        <v>0</v>
      </c>
      <c r="L18">
        <v>0</v>
      </c>
      <c r="M18" t="s">
        <v>29</v>
      </c>
    </row>
    <row r="19" spans="1:13" x14ac:dyDescent="0.45">
      <c r="A19" t="s">
        <v>21</v>
      </c>
      <c r="B19" t="s">
        <v>23</v>
      </c>
      <c r="C19" t="s">
        <v>15</v>
      </c>
      <c r="D19">
        <v>6</v>
      </c>
      <c r="E19">
        <v>6</v>
      </c>
      <c r="F19">
        <v>1</v>
      </c>
      <c r="G19">
        <v>1</v>
      </c>
      <c r="H19">
        <v>0</v>
      </c>
      <c r="I19">
        <v>0.5</v>
      </c>
      <c r="J19">
        <v>1.1000000000000001</v>
      </c>
      <c r="K19">
        <v>0</v>
      </c>
      <c r="L19">
        <v>0</v>
      </c>
      <c r="M19" t="s">
        <v>29</v>
      </c>
    </row>
    <row r="20" spans="1:13" x14ac:dyDescent="0.45">
      <c r="A20" t="s">
        <v>21</v>
      </c>
      <c r="B20" t="s">
        <v>31</v>
      </c>
      <c r="C20" t="s">
        <v>15</v>
      </c>
      <c r="D20">
        <v>10</v>
      </c>
      <c r="E20">
        <v>10</v>
      </c>
      <c r="F20">
        <v>1</v>
      </c>
      <c r="G20">
        <v>1</v>
      </c>
      <c r="H20">
        <v>0</v>
      </c>
      <c r="I20">
        <v>0.5</v>
      </c>
      <c r="J20">
        <v>1.1000000000000001</v>
      </c>
      <c r="K20">
        <v>0</v>
      </c>
      <c r="L20">
        <v>0</v>
      </c>
      <c r="M20" t="s">
        <v>29</v>
      </c>
    </row>
    <row r="21" spans="1:13" x14ac:dyDescent="0.45">
      <c r="A21" t="s">
        <v>18</v>
      </c>
      <c r="B21" t="s">
        <v>14</v>
      </c>
      <c r="C21" t="s">
        <v>20</v>
      </c>
      <c r="D21">
        <v>5</v>
      </c>
      <c r="E21">
        <v>5</v>
      </c>
      <c r="F21">
        <v>1</v>
      </c>
      <c r="G21">
        <v>1</v>
      </c>
      <c r="H21">
        <v>0</v>
      </c>
      <c r="I21">
        <v>0.5</v>
      </c>
      <c r="J21">
        <v>1.1000000000000001</v>
      </c>
      <c r="K21">
        <v>0</v>
      </c>
      <c r="L21">
        <v>0</v>
      </c>
      <c r="M21" t="s">
        <v>29</v>
      </c>
    </row>
    <row r="22" spans="1:13" x14ac:dyDescent="0.45">
      <c r="A22" t="s">
        <v>18</v>
      </c>
      <c r="B22" t="s">
        <v>33</v>
      </c>
      <c r="C22" t="s">
        <v>20</v>
      </c>
      <c r="D22">
        <v>10</v>
      </c>
      <c r="E22">
        <v>15</v>
      </c>
      <c r="F22">
        <v>6</v>
      </c>
      <c r="G22">
        <v>6</v>
      </c>
      <c r="H22">
        <v>0</v>
      </c>
      <c r="I22">
        <v>3</v>
      </c>
      <c r="J22">
        <v>6.6000000000000014</v>
      </c>
      <c r="K22">
        <v>0</v>
      </c>
      <c r="L22">
        <v>0</v>
      </c>
      <c r="M22" t="s">
        <v>29</v>
      </c>
    </row>
    <row r="23" spans="1:13" x14ac:dyDescent="0.45">
      <c r="A23" t="s">
        <v>18</v>
      </c>
      <c r="B23" t="s">
        <v>30</v>
      </c>
      <c r="C23" t="s">
        <v>20</v>
      </c>
      <c r="D23">
        <v>16</v>
      </c>
      <c r="E23">
        <v>16</v>
      </c>
      <c r="F23">
        <v>1</v>
      </c>
      <c r="G23">
        <v>1</v>
      </c>
      <c r="H23">
        <v>0</v>
      </c>
      <c r="I23">
        <v>0.5</v>
      </c>
      <c r="J23">
        <v>1.1000000000000001</v>
      </c>
      <c r="K23">
        <v>0</v>
      </c>
      <c r="L23">
        <v>0</v>
      </c>
      <c r="M23" t="s">
        <v>29</v>
      </c>
    </row>
    <row r="24" spans="1:13" x14ac:dyDescent="0.45">
      <c r="A24" t="s">
        <v>34</v>
      </c>
      <c r="B24" t="s">
        <v>25</v>
      </c>
      <c r="C24" t="s">
        <v>15</v>
      </c>
      <c r="D24">
        <v>5</v>
      </c>
      <c r="E24">
        <v>5</v>
      </c>
      <c r="F24">
        <v>1</v>
      </c>
      <c r="G24">
        <v>1</v>
      </c>
      <c r="H24">
        <v>0</v>
      </c>
      <c r="I24">
        <v>0.5</v>
      </c>
      <c r="J24">
        <v>1.1000000000000001</v>
      </c>
      <c r="K24">
        <v>0</v>
      </c>
      <c r="L24">
        <v>0</v>
      </c>
      <c r="M24" t="s">
        <v>29</v>
      </c>
    </row>
    <row r="25" spans="1:13" x14ac:dyDescent="0.45">
      <c r="A25" t="s">
        <v>26</v>
      </c>
      <c r="B25" t="s">
        <v>35</v>
      </c>
      <c r="C25" t="s">
        <v>27</v>
      </c>
      <c r="D25">
        <v>1</v>
      </c>
      <c r="E25">
        <v>4</v>
      </c>
      <c r="F25">
        <v>4</v>
      </c>
      <c r="G25">
        <v>4</v>
      </c>
      <c r="H25">
        <v>0</v>
      </c>
      <c r="I25">
        <v>2</v>
      </c>
      <c r="J25">
        <v>4.4000000000000004</v>
      </c>
      <c r="K25">
        <v>0</v>
      </c>
      <c r="L25">
        <v>0</v>
      </c>
      <c r="M25" t="s">
        <v>29</v>
      </c>
    </row>
    <row r="26" spans="1:13" x14ac:dyDescent="0.45">
      <c r="A26" t="s">
        <v>26</v>
      </c>
      <c r="B26" t="s">
        <v>36</v>
      </c>
      <c r="C26" t="s">
        <v>27</v>
      </c>
      <c r="D26">
        <v>23</v>
      </c>
      <c r="E26">
        <v>24</v>
      </c>
      <c r="F26">
        <v>2</v>
      </c>
      <c r="G26">
        <v>2</v>
      </c>
      <c r="H26">
        <v>0</v>
      </c>
      <c r="I26">
        <v>1</v>
      </c>
      <c r="J26">
        <v>2.2000000000000002</v>
      </c>
      <c r="K26">
        <v>0</v>
      </c>
      <c r="L26">
        <v>0</v>
      </c>
      <c r="M26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9.06640625" defaultRowHeight="14.25" x14ac:dyDescent="0.45"/>
  <sheetData>
    <row r="1" spans="1:2" x14ac:dyDescent="0.45">
      <c r="A1" s="1" t="s">
        <v>37</v>
      </c>
      <c r="B1" s="1" t="s">
        <v>38</v>
      </c>
    </row>
    <row r="2" spans="1:2" x14ac:dyDescent="0.45">
      <c r="A2" t="s">
        <v>39</v>
      </c>
      <c r="B2" t="s">
        <v>40</v>
      </c>
    </row>
    <row r="3" spans="1:2" x14ac:dyDescent="0.45">
      <c r="A3" t="s">
        <v>6</v>
      </c>
      <c r="B3" t="s">
        <v>41</v>
      </c>
    </row>
    <row r="4" spans="1:2" x14ac:dyDescent="0.45">
      <c r="A4" t="s">
        <v>7</v>
      </c>
      <c r="B4" t="s">
        <v>42</v>
      </c>
    </row>
    <row r="5" spans="1:2" x14ac:dyDescent="0.45">
      <c r="A5" t="s">
        <v>43</v>
      </c>
      <c r="B5" t="s">
        <v>44</v>
      </c>
    </row>
    <row r="6" spans="1:2" x14ac:dyDescent="0.45">
      <c r="A6" t="s">
        <v>45</v>
      </c>
      <c r="B6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Analisis Brechas y Costos</vt:lpstr>
      <vt:lpstr>Explicacion Logica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2026-01-04T20:34:34Z</dcterms:created>
  <dcterms:modified xsi:type="dcterms:W3CDTF">2026-01-05T02:49:33Z</dcterms:modified>
</cp:coreProperties>
</file>