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1" documentId="11_FF71182289CB37CF15409BAB05B59AB7EA11FB77" xr6:coauthVersionLast="47" xr6:coauthVersionMax="47" xr10:uidLastSave="{720C0429-0D7F-4410-98D8-4AB2C340FCBC}"/>
  <bookViews>
    <workbookView xWindow="-98" yWindow="-98" windowWidth="21795" windowHeight="12975" xr2:uid="{00000000-000D-0000-FFFF-FFFF00000000}"/>
  </bookViews>
  <sheets>
    <sheet name="Resumen_Total" sheetId="1" r:id="rId1"/>
    <sheet name="Tipo_Ciudad_Final" sheetId="2" r:id="rId2"/>
    <sheet name="Costos_por_Ciudad" sheetId="3" r:id="rId3"/>
    <sheet name="Plan_Diario" sheetId="4" r:id="rId4"/>
    <sheet name="Costos_Detal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C5" i="1"/>
  <c r="C2" i="1"/>
</calcChain>
</file>

<file path=xl/sharedStrings.xml><?xml version="1.0" encoding="utf-8"?>
<sst xmlns="http://schemas.openxmlformats.org/spreadsheetml/2006/main" count="566" uniqueCount="85">
  <si>
    <t>metric</t>
  </si>
  <si>
    <t>value</t>
  </si>
  <si>
    <t>total_uf</t>
  </si>
  <si>
    <t>total_interno_uf</t>
  </si>
  <si>
    <t>total_externo_uf</t>
  </si>
  <si>
    <t>materiales_total_uf</t>
  </si>
  <si>
    <t>gps_total</t>
  </si>
  <si>
    <t>dias_max_proyecto</t>
  </si>
  <si>
    <t>dias_semana</t>
  </si>
  <si>
    <t>horas_jornada</t>
  </si>
  <si>
    <t>tiempo_inst_gps_h</t>
  </si>
  <si>
    <t>nota_unidades</t>
  </si>
  <si>
    <t>hh_semana_proyecto se interpreta como DIAS/SEMANA (se multiplica por horas_jornada).</t>
  </si>
  <si>
    <t>nota_viaje</t>
  </si>
  <si>
    <t>Opción A: si tv &gt; hh_día =&gt; día solo viaje, duerme destino, instala siguiente día.</t>
  </si>
  <si>
    <t>nota_santiago</t>
  </si>
  <si>
    <t>Santiago es mixto_scl: internos en base pueden instalar parte; remanente va a externo.</t>
  </si>
  <si>
    <t>ciudad</t>
  </si>
  <si>
    <t>tipo_final</t>
  </si>
  <si>
    <t>Antofagasta</t>
  </si>
  <si>
    <t>externo</t>
  </si>
  <si>
    <t>Arica</t>
  </si>
  <si>
    <t>Calama</t>
  </si>
  <si>
    <t>Caldera</t>
  </si>
  <si>
    <t>Castro</t>
  </si>
  <si>
    <t>Chillán</t>
  </si>
  <si>
    <t>Concepción</t>
  </si>
  <si>
    <t>Copiapó</t>
  </si>
  <si>
    <t>Coquimbo</t>
  </si>
  <si>
    <t>Coronel</t>
  </si>
  <si>
    <t>Iquique</t>
  </si>
  <si>
    <t>Lautaro</t>
  </si>
  <si>
    <t>Linares</t>
  </si>
  <si>
    <t>Los Ángeles</t>
  </si>
  <si>
    <t>Mejillones</t>
  </si>
  <si>
    <t>Osorno</t>
  </si>
  <si>
    <t>Ovalle</t>
  </si>
  <si>
    <t>Pichirropulli</t>
  </si>
  <si>
    <t>Puerto Aysen</t>
  </si>
  <si>
    <t>Puerto Montt</t>
  </si>
  <si>
    <t>Puerto Natales</t>
  </si>
  <si>
    <t>Puerto Williams</t>
  </si>
  <si>
    <t>Punta Arenas</t>
  </si>
  <si>
    <t>Romeral</t>
  </si>
  <si>
    <t>San Antonio</t>
  </si>
  <si>
    <t>San Fernando</t>
  </si>
  <si>
    <t>San Vicente</t>
  </si>
  <si>
    <t>Santiago</t>
  </si>
  <si>
    <t>mixto_scl</t>
  </si>
  <si>
    <t>Talca</t>
  </si>
  <si>
    <t>Valdivia</t>
  </si>
  <si>
    <t>Valparaiso</t>
  </si>
  <si>
    <t>tipo_ciudad_final</t>
  </si>
  <si>
    <t>horas_total</t>
  </si>
  <si>
    <t>horas_internas</t>
  </si>
  <si>
    <t>horas_externas</t>
  </si>
  <si>
    <t>gps_externos_est</t>
  </si>
  <si>
    <t>pxq_uf</t>
  </si>
  <si>
    <t>flete_uf</t>
  </si>
  <si>
    <t>materiales_uf</t>
  </si>
  <si>
    <t>tecnico</t>
  </si>
  <si>
    <t>dia</t>
  </si>
  <si>
    <t>ciudad_trabajo</t>
  </si>
  <si>
    <t>horas_instal</t>
  </si>
  <si>
    <t>gps_inst</t>
  </si>
  <si>
    <t>viaje_modo_manana</t>
  </si>
  <si>
    <t>viaje_h_manana</t>
  </si>
  <si>
    <t>duerme_en</t>
  </si>
  <si>
    <t>nota</t>
  </si>
  <si>
    <t>Efrain</t>
  </si>
  <si>
    <t>terrestre</t>
  </si>
  <si>
    <t>Fabian D.</t>
  </si>
  <si>
    <t>Jimmy</t>
  </si>
  <si>
    <t>Luis</t>
  </si>
  <si>
    <t>Orlando</t>
  </si>
  <si>
    <t>Wilmer</t>
  </si>
  <si>
    <t>responsable</t>
  </si>
  <si>
    <t>tipo</t>
  </si>
  <si>
    <t>travel_uf</t>
  </si>
  <si>
    <t>aloj_uf</t>
  </si>
  <si>
    <t>alm_uf</t>
  </si>
  <si>
    <t>inc_uf</t>
  </si>
  <si>
    <t>sueldo_uf</t>
  </si>
  <si>
    <t>EXTERNO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</si>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</sst>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5" formatCode="_ &quot;$&quot;* #,##0.00_ ;_ &quot;$&quot;* \-#,##0.0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2" fontId="0" fillId="0" borderId="0" xfId="1" applyFont="1"/>
    <xf numFmtId="165" fontId="0" fillId="0" borderId="0" xfId="1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5" sqref="D5"/>
    </sheetView>
  </sheetViews>
  <sheetFormatPr baseColWidth="10" defaultColWidth="9.06640625" defaultRowHeight="14.25" x14ac:dyDescent="0.45"/>
  <cols>
    <col min="1" max="1" width="16.265625" bestFit="1" customWidth="1"/>
    <col min="3" max="4" width="11.59765625" bestFit="1" customWidth="1"/>
  </cols>
  <sheetData>
    <row r="1" spans="1:4" x14ac:dyDescent="0.45">
      <c r="A1" s="1" t="s">
        <v>0</v>
      </c>
      <c r="B1" s="1" t="s">
        <v>1</v>
      </c>
      <c r="C1" s="2"/>
      <c r="D1" s="2"/>
    </row>
    <row r="2" spans="1:4" x14ac:dyDescent="0.45">
      <c r="A2" t="s">
        <v>2</v>
      </c>
      <c r="B2">
        <v>2042.773403481013</v>
      </c>
      <c r="C2" s="2">
        <f>B2*39500</f>
        <v>80689549.437500015</v>
      </c>
      <c r="D2" s="2"/>
    </row>
    <row r="3" spans="1:4" x14ac:dyDescent="0.45">
      <c r="A3" t="s">
        <v>3</v>
      </c>
      <c r="B3">
        <v>68.787125000000003</v>
      </c>
      <c r="C3" s="2"/>
      <c r="D3" s="2">
        <f>C2-C5</f>
        <v>30801049.437500015</v>
      </c>
    </row>
    <row r="4" spans="1:4" x14ac:dyDescent="0.45">
      <c r="A4" t="s">
        <v>4</v>
      </c>
      <c r="B4">
        <v>1973.9862784810121</v>
      </c>
      <c r="C4" s="2"/>
      <c r="D4" s="2">
        <f>D3/842</f>
        <v>36580.818809382443</v>
      </c>
    </row>
    <row r="5" spans="1:4" x14ac:dyDescent="0.45">
      <c r="A5" t="s">
        <v>5</v>
      </c>
      <c r="B5">
        <v>1263</v>
      </c>
      <c r="C5" s="2">
        <f>B5*39500</f>
        <v>49888500</v>
      </c>
      <c r="D5" s="3">
        <f>D4/39500</f>
        <v>0.92609667871854284</v>
      </c>
    </row>
    <row r="6" spans="1:4" x14ac:dyDescent="0.45">
      <c r="A6" t="s">
        <v>6</v>
      </c>
      <c r="B6">
        <v>842</v>
      </c>
      <c r="C6" s="2"/>
      <c r="D6" s="2"/>
    </row>
    <row r="7" spans="1:4" x14ac:dyDescent="0.45">
      <c r="A7" t="s">
        <v>7</v>
      </c>
      <c r="B7">
        <v>24</v>
      </c>
      <c r="C7" s="2"/>
      <c r="D7" s="2"/>
    </row>
    <row r="8" spans="1:4" x14ac:dyDescent="0.45">
      <c r="A8" t="s">
        <v>8</v>
      </c>
      <c r="B8">
        <v>6</v>
      </c>
    </row>
    <row r="9" spans="1:4" x14ac:dyDescent="0.45">
      <c r="A9" t="s">
        <v>9</v>
      </c>
      <c r="B9">
        <v>7</v>
      </c>
    </row>
    <row r="10" spans="1:4" x14ac:dyDescent="0.45">
      <c r="A10" t="s">
        <v>10</v>
      </c>
      <c r="B10">
        <v>1.25</v>
      </c>
    </row>
    <row r="11" spans="1:4" x14ac:dyDescent="0.45">
      <c r="A11" t="s">
        <v>11</v>
      </c>
      <c r="B11" t="s">
        <v>12</v>
      </c>
    </row>
    <row r="12" spans="1:4" x14ac:dyDescent="0.45">
      <c r="A12" t="s">
        <v>13</v>
      </c>
      <c r="B12" t="s">
        <v>14</v>
      </c>
    </row>
    <row r="13" spans="1:4" x14ac:dyDescent="0.45">
      <c r="A13" t="s">
        <v>15</v>
      </c>
      <c r="B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17</v>
      </c>
      <c r="B1" s="1" t="s">
        <v>18</v>
      </c>
    </row>
    <row r="2" spans="1:2" x14ac:dyDescent="0.45">
      <c r="A2" t="s">
        <v>19</v>
      </c>
      <c r="B2" t="s">
        <v>20</v>
      </c>
    </row>
    <row r="3" spans="1:2" x14ac:dyDescent="0.45">
      <c r="A3" t="s">
        <v>21</v>
      </c>
      <c r="B3" t="s">
        <v>20</v>
      </c>
    </row>
    <row r="4" spans="1:2" x14ac:dyDescent="0.45">
      <c r="A4" t="s">
        <v>22</v>
      </c>
      <c r="B4" t="s">
        <v>20</v>
      </c>
    </row>
    <row r="5" spans="1:2" x14ac:dyDescent="0.45">
      <c r="A5" t="s">
        <v>23</v>
      </c>
      <c r="B5" t="s">
        <v>20</v>
      </c>
    </row>
    <row r="6" spans="1:2" x14ac:dyDescent="0.45">
      <c r="A6" t="s">
        <v>24</v>
      </c>
      <c r="B6" t="s">
        <v>20</v>
      </c>
    </row>
    <row r="7" spans="1:2" x14ac:dyDescent="0.45">
      <c r="A7" t="s">
        <v>25</v>
      </c>
      <c r="B7" t="s">
        <v>20</v>
      </c>
    </row>
    <row r="8" spans="1:2" x14ac:dyDescent="0.45">
      <c r="A8" t="s">
        <v>26</v>
      </c>
      <c r="B8" t="s">
        <v>20</v>
      </c>
    </row>
    <row r="9" spans="1:2" x14ac:dyDescent="0.45">
      <c r="A9" t="s">
        <v>27</v>
      </c>
      <c r="B9" t="s">
        <v>20</v>
      </c>
    </row>
    <row r="10" spans="1:2" x14ac:dyDescent="0.45">
      <c r="A10" t="s">
        <v>28</v>
      </c>
      <c r="B10" t="s">
        <v>20</v>
      </c>
    </row>
    <row r="11" spans="1:2" x14ac:dyDescent="0.45">
      <c r="A11" t="s">
        <v>29</v>
      </c>
      <c r="B11" t="s">
        <v>20</v>
      </c>
    </row>
    <row r="12" spans="1:2" x14ac:dyDescent="0.45">
      <c r="A12" t="s">
        <v>30</v>
      </c>
      <c r="B12" t="s">
        <v>20</v>
      </c>
    </row>
    <row r="13" spans="1:2" x14ac:dyDescent="0.45">
      <c r="A13" t="s">
        <v>31</v>
      </c>
      <c r="B13" t="s">
        <v>20</v>
      </c>
    </row>
    <row r="14" spans="1:2" x14ac:dyDescent="0.45">
      <c r="A14" t="s">
        <v>32</v>
      </c>
      <c r="B14" t="s">
        <v>20</v>
      </c>
    </row>
    <row r="15" spans="1:2" x14ac:dyDescent="0.45">
      <c r="A15" t="s">
        <v>33</v>
      </c>
      <c r="B15" t="s">
        <v>20</v>
      </c>
    </row>
    <row r="16" spans="1:2" x14ac:dyDescent="0.45">
      <c r="A16" t="s">
        <v>34</v>
      </c>
      <c r="B16" t="s">
        <v>20</v>
      </c>
    </row>
    <row r="17" spans="1:2" x14ac:dyDescent="0.45">
      <c r="A17" t="s">
        <v>35</v>
      </c>
      <c r="B17" t="s">
        <v>20</v>
      </c>
    </row>
    <row r="18" spans="1:2" x14ac:dyDescent="0.45">
      <c r="A18" t="s">
        <v>36</v>
      </c>
      <c r="B18" t="s">
        <v>20</v>
      </c>
    </row>
    <row r="19" spans="1:2" x14ac:dyDescent="0.45">
      <c r="A19" t="s">
        <v>37</v>
      </c>
      <c r="B19" t="s">
        <v>20</v>
      </c>
    </row>
    <row r="20" spans="1:2" x14ac:dyDescent="0.45">
      <c r="A20" t="s">
        <v>38</v>
      </c>
      <c r="B20" t="s">
        <v>20</v>
      </c>
    </row>
    <row r="21" spans="1:2" x14ac:dyDescent="0.45">
      <c r="A21" t="s">
        <v>39</v>
      </c>
      <c r="B21" t="s">
        <v>20</v>
      </c>
    </row>
    <row r="22" spans="1:2" x14ac:dyDescent="0.45">
      <c r="A22" t="s">
        <v>40</v>
      </c>
      <c r="B22" t="s">
        <v>20</v>
      </c>
    </row>
    <row r="23" spans="1:2" x14ac:dyDescent="0.45">
      <c r="A23" t="s">
        <v>41</v>
      </c>
      <c r="B23" t="s">
        <v>20</v>
      </c>
    </row>
    <row r="24" spans="1:2" x14ac:dyDescent="0.45">
      <c r="A24" t="s">
        <v>42</v>
      </c>
      <c r="B24" t="s">
        <v>20</v>
      </c>
    </row>
    <row r="25" spans="1:2" x14ac:dyDescent="0.45">
      <c r="A25" t="s">
        <v>43</v>
      </c>
      <c r="B25" t="s">
        <v>20</v>
      </c>
    </row>
    <row r="26" spans="1:2" x14ac:dyDescent="0.45">
      <c r="A26" t="s">
        <v>44</v>
      </c>
      <c r="B26" t="s">
        <v>20</v>
      </c>
    </row>
    <row r="27" spans="1:2" x14ac:dyDescent="0.45">
      <c r="A27" t="s">
        <v>45</v>
      </c>
      <c r="B27" t="s">
        <v>20</v>
      </c>
    </row>
    <row r="28" spans="1:2" x14ac:dyDescent="0.45">
      <c r="A28" t="s">
        <v>46</v>
      </c>
      <c r="B28" t="s">
        <v>20</v>
      </c>
    </row>
    <row r="29" spans="1:2" x14ac:dyDescent="0.45">
      <c r="A29" t="s">
        <v>47</v>
      </c>
      <c r="B29" t="s">
        <v>48</v>
      </c>
    </row>
    <row r="30" spans="1:2" x14ac:dyDescent="0.45">
      <c r="A30" t="s">
        <v>49</v>
      </c>
      <c r="B30" t="s">
        <v>20</v>
      </c>
    </row>
    <row r="31" spans="1:2" x14ac:dyDescent="0.45">
      <c r="A31" t="s">
        <v>50</v>
      </c>
      <c r="B31" t="s">
        <v>20</v>
      </c>
    </row>
    <row r="32" spans="1:2" x14ac:dyDescent="0.45">
      <c r="A32" t="s">
        <v>51</v>
      </c>
      <c r="B3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/>
  </sheetViews>
  <sheetFormatPr baseColWidth="10" defaultColWidth="9.06640625" defaultRowHeight="14.25" x14ac:dyDescent="0.45"/>
  <sheetData>
    <row r="1" spans="1:11" x14ac:dyDescent="0.45">
      <c r="A1" s="1" t="s">
        <v>17</v>
      </c>
      <c r="B1" s="1" t="s">
        <v>52</v>
      </c>
      <c r="C1" s="1" t="s">
        <v>6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4</v>
      </c>
    </row>
    <row r="2" spans="1:11" x14ac:dyDescent="0.45">
      <c r="A2" t="s">
        <v>47</v>
      </c>
      <c r="B2" t="s">
        <v>48</v>
      </c>
      <c r="C2">
        <v>191</v>
      </c>
      <c r="D2">
        <v>238.75</v>
      </c>
      <c r="E2">
        <v>84</v>
      </c>
      <c r="F2">
        <v>154.75</v>
      </c>
      <c r="G2">
        <v>123.8</v>
      </c>
      <c r="H2">
        <v>111.42</v>
      </c>
      <c r="I2">
        <v>0</v>
      </c>
      <c r="J2">
        <v>286.5</v>
      </c>
      <c r="K2">
        <v>397.92</v>
      </c>
    </row>
    <row r="3" spans="1:11" x14ac:dyDescent="0.45">
      <c r="A3" t="s">
        <v>51</v>
      </c>
      <c r="B3" t="s">
        <v>20</v>
      </c>
      <c r="C3">
        <v>126</v>
      </c>
      <c r="D3">
        <v>157.5</v>
      </c>
      <c r="E3">
        <v>0</v>
      </c>
      <c r="F3">
        <v>157.5</v>
      </c>
      <c r="G3">
        <v>126</v>
      </c>
      <c r="H3">
        <v>113.4</v>
      </c>
      <c r="I3">
        <v>0.3468101265822785</v>
      </c>
      <c r="J3">
        <v>189</v>
      </c>
      <c r="K3">
        <v>302.74681012658232</v>
      </c>
    </row>
    <row r="4" spans="1:11" x14ac:dyDescent="0.45">
      <c r="A4" t="s">
        <v>34</v>
      </c>
      <c r="B4" t="s">
        <v>20</v>
      </c>
      <c r="C4">
        <v>103</v>
      </c>
      <c r="D4">
        <v>128.75</v>
      </c>
      <c r="E4">
        <v>0</v>
      </c>
      <c r="F4">
        <v>128.75</v>
      </c>
      <c r="G4">
        <v>103</v>
      </c>
      <c r="H4">
        <v>92.7</v>
      </c>
      <c r="I4">
        <v>0.35356962025316457</v>
      </c>
      <c r="J4">
        <v>154.5</v>
      </c>
      <c r="K4">
        <v>247.5535696202532</v>
      </c>
    </row>
    <row r="5" spans="1:11" x14ac:dyDescent="0.45">
      <c r="A5" t="s">
        <v>46</v>
      </c>
      <c r="B5" t="s">
        <v>20</v>
      </c>
      <c r="C5">
        <v>71</v>
      </c>
      <c r="D5">
        <v>88.75</v>
      </c>
      <c r="E5">
        <v>0</v>
      </c>
      <c r="F5">
        <v>88.75</v>
      </c>
      <c r="G5">
        <v>71</v>
      </c>
      <c r="H5">
        <v>63.9</v>
      </c>
      <c r="I5">
        <v>0.3468101265822785</v>
      </c>
      <c r="J5">
        <v>106.5</v>
      </c>
      <c r="K5">
        <v>170.74681012658229</v>
      </c>
    </row>
    <row r="6" spans="1:11" x14ac:dyDescent="0.45">
      <c r="A6" t="s">
        <v>30</v>
      </c>
      <c r="B6" t="s">
        <v>20</v>
      </c>
      <c r="C6">
        <v>64</v>
      </c>
      <c r="D6">
        <v>80</v>
      </c>
      <c r="E6">
        <v>0</v>
      </c>
      <c r="F6">
        <v>80</v>
      </c>
      <c r="G6">
        <v>64</v>
      </c>
      <c r="H6">
        <v>57.6</v>
      </c>
      <c r="I6">
        <v>1.5350379746835441</v>
      </c>
      <c r="J6">
        <v>96</v>
      </c>
      <c r="K6">
        <v>155.13503797468351</v>
      </c>
    </row>
    <row r="7" spans="1:11" x14ac:dyDescent="0.45">
      <c r="A7" t="s">
        <v>39</v>
      </c>
      <c r="B7" t="s">
        <v>20</v>
      </c>
      <c r="C7">
        <v>61</v>
      </c>
      <c r="D7">
        <v>76.25</v>
      </c>
      <c r="E7">
        <v>0</v>
      </c>
      <c r="F7">
        <v>76.25</v>
      </c>
      <c r="G7">
        <v>61</v>
      </c>
      <c r="H7">
        <v>54.9</v>
      </c>
      <c r="I7">
        <v>0.41706329113924051</v>
      </c>
      <c r="J7">
        <v>91.5</v>
      </c>
      <c r="K7">
        <v>146.81706329113919</v>
      </c>
    </row>
    <row r="8" spans="1:11" x14ac:dyDescent="0.45">
      <c r="A8" t="s">
        <v>31</v>
      </c>
      <c r="B8" t="s">
        <v>20</v>
      </c>
      <c r="C8">
        <v>35</v>
      </c>
      <c r="D8">
        <v>43.75</v>
      </c>
      <c r="E8">
        <v>0</v>
      </c>
      <c r="F8">
        <v>43.75</v>
      </c>
      <c r="G8">
        <v>35</v>
      </c>
      <c r="H8">
        <v>31.5</v>
      </c>
      <c r="I8">
        <v>0.39508860759493669</v>
      </c>
      <c r="J8">
        <v>52.5</v>
      </c>
      <c r="K8">
        <v>84.395088607594943</v>
      </c>
    </row>
    <row r="9" spans="1:11" x14ac:dyDescent="0.45">
      <c r="A9" t="s">
        <v>45</v>
      </c>
      <c r="B9" t="s">
        <v>20</v>
      </c>
      <c r="C9">
        <v>35</v>
      </c>
      <c r="D9">
        <v>43.75</v>
      </c>
      <c r="E9">
        <v>0</v>
      </c>
      <c r="F9">
        <v>43.75</v>
      </c>
      <c r="G9">
        <v>35</v>
      </c>
      <c r="H9">
        <v>31.5</v>
      </c>
      <c r="I9">
        <v>0.3468101265822785</v>
      </c>
      <c r="J9">
        <v>52.5</v>
      </c>
      <c r="K9">
        <v>84.346810126582284</v>
      </c>
    </row>
    <row r="10" spans="1:11" x14ac:dyDescent="0.45">
      <c r="A10" t="s">
        <v>42</v>
      </c>
      <c r="B10" t="s">
        <v>20</v>
      </c>
      <c r="C10">
        <v>28</v>
      </c>
      <c r="D10">
        <v>35</v>
      </c>
      <c r="E10">
        <v>0</v>
      </c>
      <c r="F10">
        <v>35</v>
      </c>
      <c r="G10">
        <v>28</v>
      </c>
      <c r="H10">
        <v>25.2</v>
      </c>
      <c r="I10">
        <v>1.6867594936708861</v>
      </c>
      <c r="J10">
        <v>42</v>
      </c>
      <c r="K10">
        <v>68.886759493670894</v>
      </c>
    </row>
    <row r="11" spans="1:11" x14ac:dyDescent="0.45">
      <c r="A11" t="s">
        <v>19</v>
      </c>
      <c r="B11" t="s">
        <v>20</v>
      </c>
      <c r="C11">
        <v>22</v>
      </c>
      <c r="D11">
        <v>27.5</v>
      </c>
      <c r="E11">
        <v>0</v>
      </c>
      <c r="F11">
        <v>27.5</v>
      </c>
      <c r="G11">
        <v>22</v>
      </c>
      <c r="H11">
        <v>19.8</v>
      </c>
      <c r="I11">
        <v>1.2976708860759489</v>
      </c>
      <c r="J11">
        <v>33</v>
      </c>
      <c r="K11">
        <v>54.097670886075953</v>
      </c>
    </row>
    <row r="12" spans="1:11" x14ac:dyDescent="0.45">
      <c r="A12" t="s">
        <v>23</v>
      </c>
      <c r="B12" t="s">
        <v>20</v>
      </c>
      <c r="C12">
        <v>22</v>
      </c>
      <c r="D12">
        <v>27.5</v>
      </c>
      <c r="E12">
        <v>0</v>
      </c>
      <c r="F12">
        <v>27.5</v>
      </c>
      <c r="G12">
        <v>22</v>
      </c>
      <c r="H12">
        <v>19.8</v>
      </c>
      <c r="I12">
        <v>0.37516455696202528</v>
      </c>
      <c r="J12">
        <v>33</v>
      </c>
      <c r="K12">
        <v>53.175164556962031</v>
      </c>
    </row>
    <row r="13" spans="1:11" x14ac:dyDescent="0.45">
      <c r="A13" t="s">
        <v>28</v>
      </c>
      <c r="B13" t="s">
        <v>20</v>
      </c>
      <c r="C13">
        <v>14</v>
      </c>
      <c r="D13">
        <v>17.5</v>
      </c>
      <c r="E13">
        <v>0</v>
      </c>
      <c r="F13">
        <v>17.5</v>
      </c>
      <c r="G13">
        <v>14</v>
      </c>
      <c r="H13">
        <v>12.6</v>
      </c>
      <c r="I13">
        <v>0.3681518987341772</v>
      </c>
      <c r="J13">
        <v>21</v>
      </c>
      <c r="K13">
        <v>33.968151898734178</v>
      </c>
    </row>
    <row r="14" spans="1:11" x14ac:dyDescent="0.45">
      <c r="A14" t="s">
        <v>21</v>
      </c>
      <c r="B14" t="s">
        <v>20</v>
      </c>
      <c r="C14">
        <v>12</v>
      </c>
      <c r="D14">
        <v>15</v>
      </c>
      <c r="E14">
        <v>0</v>
      </c>
      <c r="F14">
        <v>15</v>
      </c>
      <c r="G14">
        <v>12</v>
      </c>
      <c r="H14">
        <v>10.8</v>
      </c>
      <c r="I14">
        <v>1.6867594936708861</v>
      </c>
      <c r="J14">
        <v>18</v>
      </c>
      <c r="K14">
        <v>30.486759493670888</v>
      </c>
    </row>
    <row r="15" spans="1:11" x14ac:dyDescent="0.45">
      <c r="A15" t="s">
        <v>38</v>
      </c>
      <c r="B15" t="s">
        <v>20</v>
      </c>
      <c r="C15">
        <v>10</v>
      </c>
      <c r="D15">
        <v>12.5</v>
      </c>
      <c r="E15">
        <v>0</v>
      </c>
      <c r="F15">
        <v>12.5</v>
      </c>
      <c r="G15">
        <v>10</v>
      </c>
      <c r="H15">
        <v>9</v>
      </c>
      <c r="I15">
        <v>1.6867594936708861</v>
      </c>
      <c r="J15">
        <v>15</v>
      </c>
      <c r="K15">
        <v>25.686759493670881</v>
      </c>
    </row>
    <row r="16" spans="1:11" x14ac:dyDescent="0.45">
      <c r="A16" t="s">
        <v>26</v>
      </c>
      <c r="B16" t="s">
        <v>20</v>
      </c>
      <c r="C16">
        <v>9</v>
      </c>
      <c r="D16">
        <v>11.25</v>
      </c>
      <c r="E16">
        <v>0</v>
      </c>
      <c r="F16">
        <v>11.25</v>
      </c>
      <c r="G16">
        <v>9</v>
      </c>
      <c r="H16">
        <v>8.1</v>
      </c>
      <c r="I16">
        <v>0.35898734177215191</v>
      </c>
      <c r="J16">
        <v>13.5</v>
      </c>
      <c r="K16">
        <v>21.958987341772151</v>
      </c>
    </row>
    <row r="17" spans="1:11" x14ac:dyDescent="0.45">
      <c r="A17" t="s">
        <v>32</v>
      </c>
      <c r="B17" t="s">
        <v>20</v>
      </c>
      <c r="C17">
        <v>6</v>
      </c>
      <c r="D17">
        <v>7.5</v>
      </c>
      <c r="E17">
        <v>0</v>
      </c>
      <c r="F17">
        <v>7.5</v>
      </c>
      <c r="G17">
        <v>6</v>
      </c>
      <c r="H17">
        <v>5.4</v>
      </c>
      <c r="I17">
        <v>0.35356962025316457</v>
      </c>
      <c r="J17">
        <v>9</v>
      </c>
      <c r="K17">
        <v>14.75356962025316</v>
      </c>
    </row>
    <row r="18" spans="1:11" x14ac:dyDescent="0.45">
      <c r="A18" t="s">
        <v>44</v>
      </c>
      <c r="B18" t="s">
        <v>20</v>
      </c>
      <c r="C18">
        <v>4</v>
      </c>
      <c r="D18">
        <v>5</v>
      </c>
      <c r="E18">
        <v>0</v>
      </c>
      <c r="F18">
        <v>5</v>
      </c>
      <c r="G18">
        <v>4</v>
      </c>
      <c r="H18">
        <v>3.6</v>
      </c>
      <c r="I18">
        <v>0.3468101265822785</v>
      </c>
      <c r="J18">
        <v>6</v>
      </c>
      <c r="K18">
        <v>9.9468101265822781</v>
      </c>
    </row>
    <row r="19" spans="1:11" x14ac:dyDescent="0.45">
      <c r="A19" t="s">
        <v>40</v>
      </c>
      <c r="B19" t="s">
        <v>20</v>
      </c>
      <c r="C19">
        <v>3</v>
      </c>
      <c r="D19">
        <v>3.75</v>
      </c>
      <c r="E19">
        <v>0</v>
      </c>
      <c r="F19">
        <v>3.75</v>
      </c>
      <c r="G19">
        <v>3</v>
      </c>
      <c r="H19">
        <v>2.7</v>
      </c>
      <c r="I19">
        <v>1.6867594936708861</v>
      </c>
      <c r="J19">
        <v>4.5</v>
      </c>
      <c r="K19">
        <v>8.8867594936708869</v>
      </c>
    </row>
    <row r="20" spans="1:11" x14ac:dyDescent="0.45">
      <c r="A20" t="s">
        <v>35</v>
      </c>
      <c r="B20" t="s">
        <v>20</v>
      </c>
      <c r="C20">
        <v>3</v>
      </c>
      <c r="D20">
        <v>3.75</v>
      </c>
      <c r="E20">
        <v>0</v>
      </c>
      <c r="F20">
        <v>3.75</v>
      </c>
      <c r="G20">
        <v>3</v>
      </c>
      <c r="H20">
        <v>2.7</v>
      </c>
      <c r="I20">
        <v>0.39508860759493669</v>
      </c>
      <c r="J20">
        <v>4.5</v>
      </c>
      <c r="K20">
        <v>7.5950886075949366</v>
      </c>
    </row>
    <row r="21" spans="1:11" x14ac:dyDescent="0.45">
      <c r="A21" t="s">
        <v>33</v>
      </c>
      <c r="B21" t="s">
        <v>20</v>
      </c>
      <c r="C21">
        <v>3</v>
      </c>
      <c r="D21">
        <v>3.75</v>
      </c>
      <c r="E21">
        <v>0</v>
      </c>
      <c r="F21">
        <v>3.75</v>
      </c>
      <c r="G21">
        <v>3</v>
      </c>
      <c r="H21">
        <v>2.7</v>
      </c>
      <c r="I21">
        <v>0.35898734177215191</v>
      </c>
      <c r="J21">
        <v>4.5</v>
      </c>
      <c r="K21">
        <v>7.558987341772152</v>
      </c>
    </row>
    <row r="22" spans="1:11" x14ac:dyDescent="0.45">
      <c r="A22" t="s">
        <v>22</v>
      </c>
      <c r="B22" t="s">
        <v>20</v>
      </c>
      <c r="C22">
        <v>4</v>
      </c>
      <c r="D22">
        <v>5</v>
      </c>
      <c r="E22">
        <v>5</v>
      </c>
      <c r="F22">
        <v>0</v>
      </c>
      <c r="G22">
        <v>0</v>
      </c>
      <c r="H22">
        <v>0</v>
      </c>
      <c r="I22">
        <v>0</v>
      </c>
      <c r="J22">
        <v>6</v>
      </c>
      <c r="K22">
        <v>6</v>
      </c>
    </row>
    <row r="23" spans="1:11" x14ac:dyDescent="0.45">
      <c r="A23" t="s">
        <v>24</v>
      </c>
      <c r="B23" t="s">
        <v>20</v>
      </c>
      <c r="C23">
        <v>2</v>
      </c>
      <c r="D23">
        <v>2.5</v>
      </c>
      <c r="E23">
        <v>0</v>
      </c>
      <c r="F23">
        <v>2.5</v>
      </c>
      <c r="G23">
        <v>2</v>
      </c>
      <c r="H23">
        <v>1.8</v>
      </c>
      <c r="I23">
        <v>0.41706329113924051</v>
      </c>
      <c r="J23">
        <v>3</v>
      </c>
      <c r="K23">
        <v>5.2170632911392403</v>
      </c>
    </row>
    <row r="24" spans="1:11" x14ac:dyDescent="0.45">
      <c r="A24" t="s">
        <v>50</v>
      </c>
      <c r="B24" t="s">
        <v>20</v>
      </c>
      <c r="C24">
        <v>2</v>
      </c>
      <c r="D24">
        <v>2.5</v>
      </c>
      <c r="E24">
        <v>0</v>
      </c>
      <c r="F24">
        <v>2.5</v>
      </c>
      <c r="G24">
        <v>2</v>
      </c>
      <c r="H24">
        <v>1.8</v>
      </c>
      <c r="I24">
        <v>0.39508860759493669</v>
      </c>
      <c r="J24">
        <v>3</v>
      </c>
      <c r="K24">
        <v>5.1950886075949363</v>
      </c>
    </row>
    <row r="25" spans="1:11" x14ac:dyDescent="0.45">
      <c r="A25" t="s">
        <v>27</v>
      </c>
      <c r="B25" t="s">
        <v>20</v>
      </c>
      <c r="C25">
        <v>2</v>
      </c>
      <c r="D25">
        <v>2.5</v>
      </c>
      <c r="E25">
        <v>0</v>
      </c>
      <c r="F25">
        <v>2.5</v>
      </c>
      <c r="G25">
        <v>2</v>
      </c>
      <c r="H25">
        <v>1.8</v>
      </c>
      <c r="I25">
        <v>0.37516455696202528</v>
      </c>
      <c r="J25">
        <v>3</v>
      </c>
      <c r="K25">
        <v>5.1751645569620246</v>
      </c>
    </row>
    <row r="26" spans="1:11" x14ac:dyDescent="0.45">
      <c r="A26" t="s">
        <v>29</v>
      </c>
      <c r="B26" t="s">
        <v>20</v>
      </c>
      <c r="C26">
        <v>2</v>
      </c>
      <c r="D26">
        <v>2.5</v>
      </c>
      <c r="E26">
        <v>0</v>
      </c>
      <c r="F26">
        <v>2.5</v>
      </c>
      <c r="G26">
        <v>2</v>
      </c>
      <c r="H26">
        <v>1.8</v>
      </c>
      <c r="I26">
        <v>0.35898734177215191</v>
      </c>
      <c r="J26">
        <v>3</v>
      </c>
      <c r="K26">
        <v>5.1589873417721517</v>
      </c>
    </row>
    <row r="27" spans="1:11" x14ac:dyDescent="0.45">
      <c r="A27" t="s">
        <v>49</v>
      </c>
      <c r="B27" t="s">
        <v>20</v>
      </c>
      <c r="C27">
        <v>2</v>
      </c>
      <c r="D27">
        <v>2.5</v>
      </c>
      <c r="E27">
        <v>0</v>
      </c>
      <c r="F27">
        <v>2.5</v>
      </c>
      <c r="G27">
        <v>2</v>
      </c>
      <c r="H27">
        <v>1.8</v>
      </c>
      <c r="I27">
        <v>0.35356962025316457</v>
      </c>
      <c r="J27">
        <v>3</v>
      </c>
      <c r="K27">
        <v>5.1535696202531636</v>
      </c>
    </row>
    <row r="28" spans="1:11" x14ac:dyDescent="0.45">
      <c r="A28" t="s">
        <v>41</v>
      </c>
      <c r="B28" t="s">
        <v>20</v>
      </c>
      <c r="C28">
        <v>1</v>
      </c>
      <c r="D28">
        <v>1.25</v>
      </c>
      <c r="E28">
        <v>0</v>
      </c>
      <c r="F28">
        <v>1.25</v>
      </c>
      <c r="G28">
        <v>1</v>
      </c>
      <c r="H28">
        <v>0.9</v>
      </c>
      <c r="I28">
        <v>1.6867594936708861</v>
      </c>
      <c r="J28">
        <v>1.5</v>
      </c>
      <c r="K28">
        <v>4.0867594936708862</v>
      </c>
    </row>
    <row r="29" spans="1:11" x14ac:dyDescent="0.45">
      <c r="A29" t="s">
        <v>25</v>
      </c>
      <c r="B29" t="s">
        <v>20</v>
      </c>
      <c r="C29">
        <v>2</v>
      </c>
      <c r="D29">
        <v>2.5</v>
      </c>
      <c r="E29">
        <v>2.5</v>
      </c>
      <c r="F29">
        <v>0</v>
      </c>
      <c r="G29">
        <v>0</v>
      </c>
      <c r="H29">
        <v>0</v>
      </c>
      <c r="I29">
        <v>0</v>
      </c>
      <c r="J29">
        <v>3</v>
      </c>
      <c r="K29">
        <v>3</v>
      </c>
    </row>
    <row r="30" spans="1:11" x14ac:dyDescent="0.45">
      <c r="A30" t="s">
        <v>37</v>
      </c>
      <c r="B30" t="s">
        <v>20</v>
      </c>
      <c r="C30">
        <v>1</v>
      </c>
      <c r="D30">
        <v>1.25</v>
      </c>
      <c r="E30">
        <v>0</v>
      </c>
      <c r="F30">
        <v>1.25</v>
      </c>
      <c r="G30">
        <v>1</v>
      </c>
      <c r="H30">
        <v>0.9</v>
      </c>
      <c r="I30">
        <v>0.39508860759493669</v>
      </c>
      <c r="J30">
        <v>1.5</v>
      </c>
      <c r="K30">
        <v>2.7950886075949368</v>
      </c>
    </row>
    <row r="31" spans="1:11" x14ac:dyDescent="0.45">
      <c r="A31" t="s">
        <v>36</v>
      </c>
      <c r="B31" t="s">
        <v>20</v>
      </c>
      <c r="C31">
        <v>1</v>
      </c>
      <c r="D31">
        <v>1.25</v>
      </c>
      <c r="E31">
        <v>0</v>
      </c>
      <c r="F31">
        <v>1.25</v>
      </c>
      <c r="G31">
        <v>1</v>
      </c>
      <c r="H31">
        <v>0.9</v>
      </c>
      <c r="I31">
        <v>0.39508860759493669</v>
      </c>
      <c r="J31">
        <v>1.5</v>
      </c>
      <c r="K31">
        <v>2.7950886075949368</v>
      </c>
    </row>
    <row r="32" spans="1:11" x14ac:dyDescent="0.45">
      <c r="A32" t="s">
        <v>43</v>
      </c>
      <c r="B32" t="s">
        <v>20</v>
      </c>
      <c r="C32">
        <v>1</v>
      </c>
      <c r="D32">
        <v>1.25</v>
      </c>
      <c r="E32">
        <v>0</v>
      </c>
      <c r="F32">
        <v>1.25</v>
      </c>
      <c r="G32">
        <v>1</v>
      </c>
      <c r="H32">
        <v>0.9</v>
      </c>
      <c r="I32">
        <v>0.3468101265822785</v>
      </c>
      <c r="J32">
        <v>1.5</v>
      </c>
      <c r="K32">
        <v>2.746810126582278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6"/>
  <sheetViews>
    <sheetView workbookViewId="0"/>
  </sheetViews>
  <sheetFormatPr baseColWidth="10" defaultColWidth="9.06640625" defaultRowHeight="14.25" x14ac:dyDescent="0.45"/>
  <sheetData>
    <row r="1" spans="1:9" x14ac:dyDescent="0.4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</row>
    <row r="2" spans="1:9" x14ac:dyDescent="0.45">
      <c r="A2" t="s">
        <v>69</v>
      </c>
      <c r="B2">
        <v>1</v>
      </c>
      <c r="C2" t="s">
        <v>47</v>
      </c>
      <c r="D2">
        <v>0.875</v>
      </c>
      <c r="E2">
        <v>0.7</v>
      </c>
      <c r="F2" t="s">
        <v>70</v>
      </c>
      <c r="G2">
        <v>0</v>
      </c>
      <c r="H2" t="s">
        <v>47</v>
      </c>
    </row>
    <row r="3" spans="1:9" x14ac:dyDescent="0.45">
      <c r="A3" t="s">
        <v>69</v>
      </c>
      <c r="B3">
        <v>2</v>
      </c>
      <c r="C3" t="s">
        <v>47</v>
      </c>
      <c r="D3">
        <v>0.875</v>
      </c>
      <c r="E3">
        <v>0.7</v>
      </c>
      <c r="G3">
        <v>0</v>
      </c>
      <c r="H3" t="s">
        <v>47</v>
      </c>
    </row>
    <row r="4" spans="1:9" x14ac:dyDescent="0.45">
      <c r="A4" t="s">
        <v>69</v>
      </c>
      <c r="B4">
        <v>3</v>
      </c>
      <c r="C4" t="s">
        <v>47</v>
      </c>
      <c r="D4">
        <v>0.875</v>
      </c>
      <c r="E4">
        <v>0.7</v>
      </c>
      <c r="G4">
        <v>0</v>
      </c>
      <c r="H4" t="s">
        <v>47</v>
      </c>
    </row>
    <row r="5" spans="1:9" x14ac:dyDescent="0.45">
      <c r="A5" t="s">
        <v>69</v>
      </c>
      <c r="B5">
        <v>4</v>
      </c>
      <c r="C5" t="s">
        <v>47</v>
      </c>
      <c r="D5">
        <v>0.875</v>
      </c>
      <c r="E5">
        <v>0.7</v>
      </c>
      <c r="G5">
        <v>0</v>
      </c>
      <c r="H5" t="s">
        <v>47</v>
      </c>
    </row>
    <row r="6" spans="1:9" x14ac:dyDescent="0.45">
      <c r="A6" t="s">
        <v>69</v>
      </c>
      <c r="B6">
        <v>5</v>
      </c>
      <c r="C6" t="s">
        <v>47</v>
      </c>
      <c r="D6">
        <v>0.875</v>
      </c>
      <c r="E6">
        <v>0.7</v>
      </c>
      <c r="G6">
        <v>0</v>
      </c>
      <c r="H6" t="s">
        <v>47</v>
      </c>
    </row>
    <row r="7" spans="1:9" x14ac:dyDescent="0.45">
      <c r="A7" t="s">
        <v>69</v>
      </c>
      <c r="B7">
        <v>6</v>
      </c>
      <c r="C7" t="s">
        <v>47</v>
      </c>
      <c r="D7">
        <v>0.875</v>
      </c>
      <c r="E7">
        <v>0.7</v>
      </c>
      <c r="G7">
        <v>0</v>
      </c>
      <c r="H7" t="s">
        <v>47</v>
      </c>
    </row>
    <row r="8" spans="1:9" x14ac:dyDescent="0.45">
      <c r="A8" t="s">
        <v>69</v>
      </c>
      <c r="B8">
        <v>7</v>
      </c>
      <c r="C8" t="s">
        <v>47</v>
      </c>
      <c r="D8">
        <v>0.875</v>
      </c>
      <c r="E8">
        <v>0.7</v>
      </c>
      <c r="G8">
        <v>0</v>
      </c>
      <c r="H8" t="s">
        <v>47</v>
      </c>
    </row>
    <row r="9" spans="1:9" x14ac:dyDescent="0.45">
      <c r="A9" t="s">
        <v>69</v>
      </c>
      <c r="B9">
        <v>8</v>
      </c>
      <c r="C9" t="s">
        <v>47</v>
      </c>
      <c r="D9">
        <v>0.875</v>
      </c>
      <c r="E9">
        <v>0.7</v>
      </c>
      <c r="G9">
        <v>0</v>
      </c>
      <c r="H9" t="s">
        <v>47</v>
      </c>
    </row>
    <row r="10" spans="1:9" x14ac:dyDescent="0.45">
      <c r="A10" t="s">
        <v>69</v>
      </c>
      <c r="B10">
        <v>9</v>
      </c>
      <c r="C10" t="s">
        <v>47</v>
      </c>
      <c r="D10">
        <v>0.875</v>
      </c>
      <c r="E10">
        <v>0.7</v>
      </c>
      <c r="G10">
        <v>0</v>
      </c>
      <c r="H10" t="s">
        <v>47</v>
      </c>
    </row>
    <row r="11" spans="1:9" x14ac:dyDescent="0.45">
      <c r="A11" t="s">
        <v>69</v>
      </c>
      <c r="B11">
        <v>10</v>
      </c>
      <c r="C11" t="s">
        <v>47</v>
      </c>
      <c r="D11">
        <v>0.875</v>
      </c>
      <c r="E11">
        <v>0.7</v>
      </c>
      <c r="G11">
        <v>0</v>
      </c>
      <c r="H11" t="s">
        <v>47</v>
      </c>
    </row>
    <row r="12" spans="1:9" x14ac:dyDescent="0.45">
      <c r="A12" t="s">
        <v>69</v>
      </c>
      <c r="B12">
        <v>11</v>
      </c>
      <c r="C12" t="s">
        <v>47</v>
      </c>
      <c r="D12">
        <v>0.875</v>
      </c>
      <c r="E12">
        <v>0.7</v>
      </c>
      <c r="G12">
        <v>0</v>
      </c>
      <c r="H12" t="s">
        <v>47</v>
      </c>
    </row>
    <row r="13" spans="1:9" x14ac:dyDescent="0.45">
      <c r="A13" t="s">
        <v>69</v>
      </c>
      <c r="B13">
        <v>12</v>
      </c>
      <c r="C13" t="s">
        <v>47</v>
      </c>
      <c r="D13">
        <v>0.875</v>
      </c>
      <c r="E13">
        <v>0.7</v>
      </c>
      <c r="G13">
        <v>0</v>
      </c>
      <c r="H13" t="s">
        <v>47</v>
      </c>
    </row>
    <row r="14" spans="1:9" x14ac:dyDescent="0.45">
      <c r="A14" t="s">
        <v>69</v>
      </c>
      <c r="B14">
        <v>13</v>
      </c>
      <c r="C14" t="s">
        <v>47</v>
      </c>
      <c r="D14">
        <v>0.875</v>
      </c>
      <c r="E14">
        <v>0.7</v>
      </c>
      <c r="G14">
        <v>0</v>
      </c>
      <c r="H14" t="s">
        <v>47</v>
      </c>
    </row>
    <row r="15" spans="1:9" x14ac:dyDescent="0.45">
      <c r="A15" t="s">
        <v>69</v>
      </c>
      <c r="B15">
        <v>14</v>
      </c>
      <c r="C15" t="s">
        <v>47</v>
      </c>
      <c r="D15">
        <v>0.875</v>
      </c>
      <c r="E15">
        <v>0.7</v>
      </c>
      <c r="G15">
        <v>0</v>
      </c>
      <c r="H15" t="s">
        <v>47</v>
      </c>
    </row>
    <row r="16" spans="1:9" x14ac:dyDescent="0.45">
      <c r="A16" t="s">
        <v>69</v>
      </c>
      <c r="B16">
        <v>15</v>
      </c>
      <c r="C16" t="s">
        <v>47</v>
      </c>
      <c r="D16">
        <v>0.875</v>
      </c>
      <c r="E16">
        <v>0.7</v>
      </c>
      <c r="G16">
        <v>0</v>
      </c>
      <c r="H16" t="s">
        <v>47</v>
      </c>
    </row>
    <row r="17" spans="1:8" x14ac:dyDescent="0.45">
      <c r="A17" t="s">
        <v>69</v>
      </c>
      <c r="B17">
        <v>16</v>
      </c>
      <c r="C17" t="s">
        <v>47</v>
      </c>
      <c r="D17">
        <v>0.875</v>
      </c>
      <c r="E17">
        <v>0.7</v>
      </c>
      <c r="G17">
        <v>0</v>
      </c>
      <c r="H17" t="s">
        <v>47</v>
      </c>
    </row>
    <row r="18" spans="1:8" x14ac:dyDescent="0.45">
      <c r="A18" t="s">
        <v>69</v>
      </c>
      <c r="B18">
        <v>17</v>
      </c>
      <c r="C18" t="s">
        <v>47</v>
      </c>
      <c r="D18">
        <v>0.875</v>
      </c>
      <c r="E18">
        <v>0.7</v>
      </c>
      <c r="G18">
        <v>0</v>
      </c>
      <c r="H18" t="s">
        <v>47</v>
      </c>
    </row>
    <row r="19" spans="1:8" x14ac:dyDescent="0.45">
      <c r="A19" t="s">
        <v>69</v>
      </c>
      <c r="B19">
        <v>18</v>
      </c>
      <c r="C19" t="s">
        <v>47</v>
      </c>
      <c r="D19">
        <v>0.875</v>
      </c>
      <c r="E19">
        <v>0.7</v>
      </c>
      <c r="G19">
        <v>0</v>
      </c>
      <c r="H19" t="s">
        <v>47</v>
      </c>
    </row>
    <row r="20" spans="1:8" x14ac:dyDescent="0.45">
      <c r="A20" t="s">
        <v>69</v>
      </c>
      <c r="B20">
        <v>19</v>
      </c>
      <c r="C20" t="s">
        <v>47</v>
      </c>
      <c r="D20">
        <v>0.875</v>
      </c>
      <c r="E20">
        <v>0.7</v>
      </c>
      <c r="G20">
        <v>0</v>
      </c>
      <c r="H20" t="s">
        <v>47</v>
      </c>
    </row>
    <row r="21" spans="1:8" x14ac:dyDescent="0.45">
      <c r="A21" t="s">
        <v>69</v>
      </c>
      <c r="B21">
        <v>20</v>
      </c>
      <c r="C21" t="s">
        <v>47</v>
      </c>
      <c r="D21">
        <v>0.875</v>
      </c>
      <c r="E21">
        <v>0.7</v>
      </c>
      <c r="G21">
        <v>0</v>
      </c>
      <c r="H21" t="s">
        <v>47</v>
      </c>
    </row>
    <row r="22" spans="1:8" x14ac:dyDescent="0.45">
      <c r="A22" t="s">
        <v>69</v>
      </c>
      <c r="B22">
        <v>21</v>
      </c>
      <c r="C22" t="s">
        <v>47</v>
      </c>
      <c r="D22">
        <v>0.875</v>
      </c>
      <c r="E22">
        <v>0.7</v>
      </c>
      <c r="G22">
        <v>0</v>
      </c>
      <c r="H22" t="s">
        <v>47</v>
      </c>
    </row>
    <row r="23" spans="1:8" x14ac:dyDescent="0.45">
      <c r="A23" t="s">
        <v>69</v>
      </c>
      <c r="B23">
        <v>22</v>
      </c>
      <c r="C23" t="s">
        <v>47</v>
      </c>
      <c r="D23">
        <v>0.875</v>
      </c>
      <c r="E23">
        <v>0.7</v>
      </c>
      <c r="G23">
        <v>0</v>
      </c>
      <c r="H23" t="s">
        <v>47</v>
      </c>
    </row>
    <row r="24" spans="1:8" x14ac:dyDescent="0.45">
      <c r="A24" t="s">
        <v>69</v>
      </c>
      <c r="B24">
        <v>23</v>
      </c>
      <c r="C24" t="s">
        <v>47</v>
      </c>
      <c r="D24">
        <v>0.875</v>
      </c>
      <c r="E24">
        <v>0.7</v>
      </c>
      <c r="G24">
        <v>0</v>
      </c>
      <c r="H24" t="s">
        <v>47</v>
      </c>
    </row>
    <row r="25" spans="1:8" x14ac:dyDescent="0.45">
      <c r="A25" t="s">
        <v>69</v>
      </c>
      <c r="B25">
        <v>24</v>
      </c>
      <c r="C25" t="s">
        <v>47</v>
      </c>
      <c r="D25">
        <v>0.875</v>
      </c>
      <c r="E25">
        <v>0.7</v>
      </c>
      <c r="G25">
        <v>0</v>
      </c>
      <c r="H25" t="s">
        <v>47</v>
      </c>
    </row>
    <row r="26" spans="1:8" x14ac:dyDescent="0.45">
      <c r="A26" t="s">
        <v>71</v>
      </c>
      <c r="B26">
        <v>1</v>
      </c>
      <c r="C26" t="s">
        <v>47</v>
      </c>
      <c r="D26">
        <v>0.875</v>
      </c>
      <c r="E26">
        <v>0.7</v>
      </c>
      <c r="F26" t="s">
        <v>70</v>
      </c>
      <c r="G26">
        <v>0</v>
      </c>
      <c r="H26" t="s">
        <v>47</v>
      </c>
    </row>
    <row r="27" spans="1:8" x14ac:dyDescent="0.45">
      <c r="A27" t="s">
        <v>71</v>
      </c>
      <c r="B27">
        <v>2</v>
      </c>
      <c r="C27" t="s">
        <v>47</v>
      </c>
      <c r="D27">
        <v>0.875</v>
      </c>
      <c r="E27">
        <v>0.7</v>
      </c>
      <c r="G27">
        <v>0</v>
      </c>
      <c r="H27" t="s">
        <v>47</v>
      </c>
    </row>
    <row r="28" spans="1:8" x14ac:dyDescent="0.45">
      <c r="A28" t="s">
        <v>71</v>
      </c>
      <c r="B28">
        <v>3</v>
      </c>
      <c r="C28" t="s">
        <v>47</v>
      </c>
      <c r="D28">
        <v>0.875</v>
      </c>
      <c r="E28">
        <v>0.7</v>
      </c>
      <c r="G28">
        <v>0</v>
      </c>
      <c r="H28" t="s">
        <v>47</v>
      </c>
    </row>
    <row r="29" spans="1:8" x14ac:dyDescent="0.45">
      <c r="A29" t="s">
        <v>71</v>
      </c>
      <c r="B29">
        <v>4</v>
      </c>
      <c r="C29" t="s">
        <v>47</v>
      </c>
      <c r="D29">
        <v>0.875</v>
      </c>
      <c r="E29">
        <v>0.7</v>
      </c>
      <c r="G29">
        <v>0</v>
      </c>
      <c r="H29" t="s">
        <v>47</v>
      </c>
    </row>
    <row r="30" spans="1:8" x14ac:dyDescent="0.45">
      <c r="A30" t="s">
        <v>71</v>
      </c>
      <c r="B30">
        <v>5</v>
      </c>
      <c r="C30" t="s">
        <v>47</v>
      </c>
      <c r="D30">
        <v>0.875</v>
      </c>
      <c r="E30">
        <v>0.7</v>
      </c>
      <c r="G30">
        <v>0</v>
      </c>
      <c r="H30" t="s">
        <v>47</v>
      </c>
    </row>
    <row r="31" spans="1:8" x14ac:dyDescent="0.45">
      <c r="A31" t="s">
        <v>71</v>
      </c>
      <c r="B31">
        <v>6</v>
      </c>
      <c r="C31" t="s">
        <v>47</v>
      </c>
      <c r="D31">
        <v>0.875</v>
      </c>
      <c r="E31">
        <v>0.7</v>
      </c>
      <c r="G31">
        <v>0</v>
      </c>
      <c r="H31" t="s">
        <v>47</v>
      </c>
    </row>
    <row r="32" spans="1:8" x14ac:dyDescent="0.45">
      <c r="A32" t="s">
        <v>71</v>
      </c>
      <c r="B32">
        <v>7</v>
      </c>
      <c r="C32" t="s">
        <v>47</v>
      </c>
      <c r="D32">
        <v>0.875</v>
      </c>
      <c r="E32">
        <v>0.7</v>
      </c>
      <c r="G32">
        <v>0</v>
      </c>
      <c r="H32" t="s">
        <v>47</v>
      </c>
    </row>
    <row r="33" spans="1:8" x14ac:dyDescent="0.45">
      <c r="A33" t="s">
        <v>71</v>
      </c>
      <c r="B33">
        <v>8</v>
      </c>
      <c r="C33" t="s">
        <v>47</v>
      </c>
      <c r="D33">
        <v>0.875</v>
      </c>
      <c r="E33">
        <v>0.7</v>
      </c>
      <c r="G33">
        <v>0</v>
      </c>
      <c r="H33" t="s">
        <v>47</v>
      </c>
    </row>
    <row r="34" spans="1:8" x14ac:dyDescent="0.45">
      <c r="A34" t="s">
        <v>71</v>
      </c>
      <c r="B34">
        <v>9</v>
      </c>
      <c r="C34" t="s">
        <v>47</v>
      </c>
      <c r="D34">
        <v>0.875</v>
      </c>
      <c r="E34">
        <v>0.7</v>
      </c>
      <c r="G34">
        <v>0</v>
      </c>
      <c r="H34" t="s">
        <v>47</v>
      </c>
    </row>
    <row r="35" spans="1:8" x14ac:dyDescent="0.45">
      <c r="A35" t="s">
        <v>71</v>
      </c>
      <c r="B35">
        <v>10</v>
      </c>
      <c r="C35" t="s">
        <v>47</v>
      </c>
      <c r="D35">
        <v>0.875</v>
      </c>
      <c r="E35">
        <v>0.7</v>
      </c>
      <c r="G35">
        <v>0</v>
      </c>
      <c r="H35" t="s">
        <v>47</v>
      </c>
    </row>
    <row r="36" spans="1:8" x14ac:dyDescent="0.45">
      <c r="A36" t="s">
        <v>71</v>
      </c>
      <c r="B36">
        <v>11</v>
      </c>
      <c r="C36" t="s">
        <v>47</v>
      </c>
      <c r="D36">
        <v>0.875</v>
      </c>
      <c r="E36">
        <v>0.7</v>
      </c>
      <c r="G36">
        <v>0</v>
      </c>
      <c r="H36" t="s">
        <v>47</v>
      </c>
    </row>
    <row r="37" spans="1:8" x14ac:dyDescent="0.45">
      <c r="A37" t="s">
        <v>71</v>
      </c>
      <c r="B37">
        <v>12</v>
      </c>
      <c r="C37" t="s">
        <v>47</v>
      </c>
      <c r="D37">
        <v>0.875</v>
      </c>
      <c r="E37">
        <v>0.7</v>
      </c>
      <c r="G37">
        <v>0</v>
      </c>
      <c r="H37" t="s">
        <v>47</v>
      </c>
    </row>
    <row r="38" spans="1:8" x14ac:dyDescent="0.45">
      <c r="A38" t="s">
        <v>71</v>
      </c>
      <c r="B38">
        <v>13</v>
      </c>
      <c r="C38" t="s">
        <v>47</v>
      </c>
      <c r="D38">
        <v>0.875</v>
      </c>
      <c r="E38">
        <v>0.7</v>
      </c>
      <c r="G38">
        <v>0</v>
      </c>
      <c r="H38" t="s">
        <v>47</v>
      </c>
    </row>
    <row r="39" spans="1:8" x14ac:dyDescent="0.45">
      <c r="A39" t="s">
        <v>71</v>
      </c>
      <c r="B39">
        <v>14</v>
      </c>
      <c r="C39" t="s">
        <v>47</v>
      </c>
      <c r="D39">
        <v>0.875</v>
      </c>
      <c r="E39">
        <v>0.7</v>
      </c>
      <c r="G39">
        <v>0</v>
      </c>
      <c r="H39" t="s">
        <v>47</v>
      </c>
    </row>
    <row r="40" spans="1:8" x14ac:dyDescent="0.45">
      <c r="A40" t="s">
        <v>71</v>
      </c>
      <c r="B40">
        <v>15</v>
      </c>
      <c r="C40" t="s">
        <v>47</v>
      </c>
      <c r="D40">
        <v>0.875</v>
      </c>
      <c r="E40">
        <v>0.7</v>
      </c>
      <c r="G40">
        <v>0</v>
      </c>
      <c r="H40" t="s">
        <v>47</v>
      </c>
    </row>
    <row r="41" spans="1:8" x14ac:dyDescent="0.45">
      <c r="A41" t="s">
        <v>71</v>
      </c>
      <c r="B41">
        <v>16</v>
      </c>
      <c r="C41" t="s">
        <v>47</v>
      </c>
      <c r="D41">
        <v>0.875</v>
      </c>
      <c r="E41">
        <v>0.7</v>
      </c>
      <c r="G41">
        <v>0</v>
      </c>
      <c r="H41" t="s">
        <v>47</v>
      </c>
    </row>
    <row r="42" spans="1:8" x14ac:dyDescent="0.45">
      <c r="A42" t="s">
        <v>71</v>
      </c>
      <c r="B42">
        <v>17</v>
      </c>
      <c r="C42" t="s">
        <v>47</v>
      </c>
      <c r="D42">
        <v>0.875</v>
      </c>
      <c r="E42">
        <v>0.7</v>
      </c>
      <c r="G42">
        <v>0</v>
      </c>
      <c r="H42" t="s">
        <v>47</v>
      </c>
    </row>
    <row r="43" spans="1:8" x14ac:dyDescent="0.45">
      <c r="A43" t="s">
        <v>71</v>
      </c>
      <c r="B43">
        <v>18</v>
      </c>
      <c r="C43" t="s">
        <v>47</v>
      </c>
      <c r="D43">
        <v>0.875</v>
      </c>
      <c r="E43">
        <v>0.7</v>
      </c>
      <c r="G43">
        <v>0</v>
      </c>
      <c r="H43" t="s">
        <v>47</v>
      </c>
    </row>
    <row r="44" spans="1:8" x14ac:dyDescent="0.45">
      <c r="A44" t="s">
        <v>71</v>
      </c>
      <c r="B44">
        <v>19</v>
      </c>
      <c r="C44" t="s">
        <v>47</v>
      </c>
      <c r="D44">
        <v>0.875</v>
      </c>
      <c r="E44">
        <v>0.7</v>
      </c>
      <c r="G44">
        <v>0</v>
      </c>
      <c r="H44" t="s">
        <v>47</v>
      </c>
    </row>
    <row r="45" spans="1:8" x14ac:dyDescent="0.45">
      <c r="A45" t="s">
        <v>71</v>
      </c>
      <c r="B45">
        <v>20</v>
      </c>
      <c r="C45" t="s">
        <v>47</v>
      </c>
      <c r="D45">
        <v>0.875</v>
      </c>
      <c r="E45">
        <v>0.7</v>
      </c>
      <c r="G45">
        <v>0</v>
      </c>
      <c r="H45" t="s">
        <v>47</v>
      </c>
    </row>
    <row r="46" spans="1:8" x14ac:dyDescent="0.45">
      <c r="A46" t="s">
        <v>71</v>
      </c>
      <c r="B46">
        <v>21</v>
      </c>
      <c r="C46" t="s">
        <v>47</v>
      </c>
      <c r="D46">
        <v>0.875</v>
      </c>
      <c r="E46">
        <v>0.7</v>
      </c>
      <c r="G46">
        <v>0</v>
      </c>
      <c r="H46" t="s">
        <v>47</v>
      </c>
    </row>
    <row r="47" spans="1:8" x14ac:dyDescent="0.45">
      <c r="A47" t="s">
        <v>71</v>
      </c>
      <c r="B47">
        <v>22</v>
      </c>
      <c r="C47" t="s">
        <v>47</v>
      </c>
      <c r="D47">
        <v>0.875</v>
      </c>
      <c r="E47">
        <v>0.7</v>
      </c>
      <c r="G47">
        <v>0</v>
      </c>
      <c r="H47" t="s">
        <v>47</v>
      </c>
    </row>
    <row r="48" spans="1:8" x14ac:dyDescent="0.45">
      <c r="A48" t="s">
        <v>71</v>
      </c>
      <c r="B48">
        <v>23</v>
      </c>
      <c r="C48" t="s">
        <v>47</v>
      </c>
      <c r="D48">
        <v>0.875</v>
      </c>
      <c r="E48">
        <v>0.7</v>
      </c>
      <c r="G48">
        <v>0</v>
      </c>
      <c r="H48" t="s">
        <v>47</v>
      </c>
    </row>
    <row r="49" spans="1:8" x14ac:dyDescent="0.45">
      <c r="A49" t="s">
        <v>71</v>
      </c>
      <c r="B49">
        <v>24</v>
      </c>
      <c r="C49" t="s">
        <v>47</v>
      </c>
      <c r="D49">
        <v>0.875</v>
      </c>
      <c r="E49">
        <v>0.7</v>
      </c>
      <c r="G49">
        <v>0</v>
      </c>
      <c r="H49" t="s">
        <v>47</v>
      </c>
    </row>
    <row r="50" spans="1:8" x14ac:dyDescent="0.45">
      <c r="A50" t="s">
        <v>72</v>
      </c>
      <c r="B50">
        <v>1</v>
      </c>
      <c r="C50" t="s">
        <v>25</v>
      </c>
      <c r="D50">
        <v>0.875</v>
      </c>
      <c r="E50">
        <v>0.7</v>
      </c>
      <c r="F50" t="s">
        <v>70</v>
      </c>
      <c r="G50">
        <v>0</v>
      </c>
      <c r="H50" t="s">
        <v>25</v>
      </c>
    </row>
    <row r="51" spans="1:8" x14ac:dyDescent="0.45">
      <c r="A51" t="s">
        <v>72</v>
      </c>
      <c r="B51">
        <v>2</v>
      </c>
      <c r="C51" t="s">
        <v>25</v>
      </c>
      <c r="D51">
        <v>0.875</v>
      </c>
      <c r="E51">
        <v>0.7</v>
      </c>
      <c r="G51">
        <v>0</v>
      </c>
      <c r="H51" t="s">
        <v>25</v>
      </c>
    </row>
    <row r="52" spans="1:8" x14ac:dyDescent="0.45">
      <c r="A52" t="s">
        <v>72</v>
      </c>
      <c r="B52">
        <v>3</v>
      </c>
      <c r="C52" t="s">
        <v>25</v>
      </c>
      <c r="D52">
        <v>0.75</v>
      </c>
      <c r="E52">
        <v>0.6</v>
      </c>
      <c r="G52">
        <v>0</v>
      </c>
      <c r="H52" t="s">
        <v>25</v>
      </c>
    </row>
    <row r="53" spans="1:8" x14ac:dyDescent="0.45">
      <c r="A53" t="s">
        <v>73</v>
      </c>
      <c r="B53">
        <v>1</v>
      </c>
      <c r="C53" t="s">
        <v>47</v>
      </c>
      <c r="D53">
        <v>0.875</v>
      </c>
      <c r="E53">
        <v>0.7</v>
      </c>
      <c r="F53" t="s">
        <v>70</v>
      </c>
      <c r="G53">
        <v>0</v>
      </c>
      <c r="H53" t="s">
        <v>47</v>
      </c>
    </row>
    <row r="54" spans="1:8" x14ac:dyDescent="0.45">
      <c r="A54" t="s">
        <v>73</v>
      </c>
      <c r="B54">
        <v>2</v>
      </c>
      <c r="C54" t="s">
        <v>47</v>
      </c>
      <c r="D54">
        <v>0.875</v>
      </c>
      <c r="E54">
        <v>0.7</v>
      </c>
      <c r="G54">
        <v>0</v>
      </c>
      <c r="H54" t="s">
        <v>47</v>
      </c>
    </row>
    <row r="55" spans="1:8" x14ac:dyDescent="0.45">
      <c r="A55" t="s">
        <v>73</v>
      </c>
      <c r="B55">
        <v>3</v>
      </c>
      <c r="C55" t="s">
        <v>47</v>
      </c>
      <c r="D55">
        <v>0.875</v>
      </c>
      <c r="E55">
        <v>0.7</v>
      </c>
      <c r="G55">
        <v>0</v>
      </c>
      <c r="H55" t="s">
        <v>47</v>
      </c>
    </row>
    <row r="56" spans="1:8" x14ac:dyDescent="0.45">
      <c r="A56" t="s">
        <v>73</v>
      </c>
      <c r="B56">
        <v>4</v>
      </c>
      <c r="C56" t="s">
        <v>47</v>
      </c>
      <c r="D56">
        <v>0.875</v>
      </c>
      <c r="E56">
        <v>0.7</v>
      </c>
      <c r="G56">
        <v>0</v>
      </c>
      <c r="H56" t="s">
        <v>47</v>
      </c>
    </row>
    <row r="57" spans="1:8" x14ac:dyDescent="0.45">
      <c r="A57" t="s">
        <v>73</v>
      </c>
      <c r="B57">
        <v>5</v>
      </c>
      <c r="C57" t="s">
        <v>47</v>
      </c>
      <c r="D57">
        <v>0.875</v>
      </c>
      <c r="E57">
        <v>0.7</v>
      </c>
      <c r="G57">
        <v>0</v>
      </c>
      <c r="H57" t="s">
        <v>47</v>
      </c>
    </row>
    <row r="58" spans="1:8" x14ac:dyDescent="0.45">
      <c r="A58" t="s">
        <v>73</v>
      </c>
      <c r="B58">
        <v>6</v>
      </c>
      <c r="C58" t="s">
        <v>47</v>
      </c>
      <c r="D58">
        <v>0.875</v>
      </c>
      <c r="E58">
        <v>0.7</v>
      </c>
      <c r="G58">
        <v>0</v>
      </c>
      <c r="H58" t="s">
        <v>47</v>
      </c>
    </row>
    <row r="59" spans="1:8" x14ac:dyDescent="0.45">
      <c r="A59" t="s">
        <v>73</v>
      </c>
      <c r="B59">
        <v>7</v>
      </c>
      <c r="C59" t="s">
        <v>47</v>
      </c>
      <c r="D59">
        <v>0.875</v>
      </c>
      <c r="E59">
        <v>0.7</v>
      </c>
      <c r="G59">
        <v>0</v>
      </c>
      <c r="H59" t="s">
        <v>47</v>
      </c>
    </row>
    <row r="60" spans="1:8" x14ac:dyDescent="0.45">
      <c r="A60" t="s">
        <v>73</v>
      </c>
      <c r="B60">
        <v>8</v>
      </c>
      <c r="C60" t="s">
        <v>47</v>
      </c>
      <c r="D60">
        <v>0.875</v>
      </c>
      <c r="E60">
        <v>0.7</v>
      </c>
      <c r="G60">
        <v>0</v>
      </c>
      <c r="H60" t="s">
        <v>47</v>
      </c>
    </row>
    <row r="61" spans="1:8" x14ac:dyDescent="0.45">
      <c r="A61" t="s">
        <v>73</v>
      </c>
      <c r="B61">
        <v>9</v>
      </c>
      <c r="C61" t="s">
        <v>47</v>
      </c>
      <c r="D61">
        <v>0.875</v>
      </c>
      <c r="E61">
        <v>0.7</v>
      </c>
      <c r="G61">
        <v>0</v>
      </c>
      <c r="H61" t="s">
        <v>47</v>
      </c>
    </row>
    <row r="62" spans="1:8" x14ac:dyDescent="0.45">
      <c r="A62" t="s">
        <v>73</v>
      </c>
      <c r="B62">
        <v>10</v>
      </c>
      <c r="C62" t="s">
        <v>47</v>
      </c>
      <c r="D62">
        <v>0.875</v>
      </c>
      <c r="E62">
        <v>0.7</v>
      </c>
      <c r="G62">
        <v>0</v>
      </c>
      <c r="H62" t="s">
        <v>47</v>
      </c>
    </row>
    <row r="63" spans="1:8" x14ac:dyDescent="0.45">
      <c r="A63" t="s">
        <v>73</v>
      </c>
      <c r="B63">
        <v>11</v>
      </c>
      <c r="C63" t="s">
        <v>47</v>
      </c>
      <c r="D63">
        <v>0.875</v>
      </c>
      <c r="E63">
        <v>0.7</v>
      </c>
      <c r="G63">
        <v>0</v>
      </c>
      <c r="H63" t="s">
        <v>47</v>
      </c>
    </row>
    <row r="64" spans="1:8" x14ac:dyDescent="0.45">
      <c r="A64" t="s">
        <v>73</v>
      </c>
      <c r="B64">
        <v>12</v>
      </c>
      <c r="C64" t="s">
        <v>47</v>
      </c>
      <c r="D64">
        <v>0.875</v>
      </c>
      <c r="E64">
        <v>0.7</v>
      </c>
      <c r="G64">
        <v>0</v>
      </c>
      <c r="H64" t="s">
        <v>47</v>
      </c>
    </row>
    <row r="65" spans="1:8" x14ac:dyDescent="0.45">
      <c r="A65" t="s">
        <v>73</v>
      </c>
      <c r="B65">
        <v>13</v>
      </c>
      <c r="C65" t="s">
        <v>47</v>
      </c>
      <c r="D65">
        <v>0.875</v>
      </c>
      <c r="E65">
        <v>0.7</v>
      </c>
      <c r="G65">
        <v>0</v>
      </c>
      <c r="H65" t="s">
        <v>47</v>
      </c>
    </row>
    <row r="66" spans="1:8" x14ac:dyDescent="0.45">
      <c r="A66" t="s">
        <v>73</v>
      </c>
      <c r="B66">
        <v>14</v>
      </c>
      <c r="C66" t="s">
        <v>47</v>
      </c>
      <c r="D66">
        <v>0.875</v>
      </c>
      <c r="E66">
        <v>0.7</v>
      </c>
      <c r="G66">
        <v>0</v>
      </c>
      <c r="H66" t="s">
        <v>47</v>
      </c>
    </row>
    <row r="67" spans="1:8" x14ac:dyDescent="0.45">
      <c r="A67" t="s">
        <v>73</v>
      </c>
      <c r="B67">
        <v>15</v>
      </c>
      <c r="C67" t="s">
        <v>47</v>
      </c>
      <c r="D67">
        <v>0.875</v>
      </c>
      <c r="E67">
        <v>0.7</v>
      </c>
      <c r="G67">
        <v>0</v>
      </c>
      <c r="H67" t="s">
        <v>47</v>
      </c>
    </row>
    <row r="68" spans="1:8" x14ac:dyDescent="0.45">
      <c r="A68" t="s">
        <v>73</v>
      </c>
      <c r="B68">
        <v>16</v>
      </c>
      <c r="C68" t="s">
        <v>47</v>
      </c>
      <c r="D68">
        <v>0.875</v>
      </c>
      <c r="E68">
        <v>0.7</v>
      </c>
      <c r="G68">
        <v>0</v>
      </c>
      <c r="H68" t="s">
        <v>47</v>
      </c>
    </row>
    <row r="69" spans="1:8" x14ac:dyDescent="0.45">
      <c r="A69" t="s">
        <v>73</v>
      </c>
      <c r="B69">
        <v>17</v>
      </c>
      <c r="C69" t="s">
        <v>47</v>
      </c>
      <c r="D69">
        <v>0.875</v>
      </c>
      <c r="E69">
        <v>0.7</v>
      </c>
      <c r="G69">
        <v>0</v>
      </c>
      <c r="H69" t="s">
        <v>47</v>
      </c>
    </row>
    <row r="70" spans="1:8" x14ac:dyDescent="0.45">
      <c r="A70" t="s">
        <v>73</v>
      </c>
      <c r="B70">
        <v>18</v>
      </c>
      <c r="C70" t="s">
        <v>47</v>
      </c>
      <c r="D70">
        <v>0.875</v>
      </c>
      <c r="E70">
        <v>0.7</v>
      </c>
      <c r="G70">
        <v>0</v>
      </c>
      <c r="H70" t="s">
        <v>47</v>
      </c>
    </row>
    <row r="71" spans="1:8" x14ac:dyDescent="0.45">
      <c r="A71" t="s">
        <v>73</v>
      </c>
      <c r="B71">
        <v>19</v>
      </c>
      <c r="C71" t="s">
        <v>47</v>
      </c>
      <c r="D71">
        <v>0.875</v>
      </c>
      <c r="E71">
        <v>0.7</v>
      </c>
      <c r="G71">
        <v>0</v>
      </c>
      <c r="H71" t="s">
        <v>47</v>
      </c>
    </row>
    <row r="72" spans="1:8" x14ac:dyDescent="0.45">
      <c r="A72" t="s">
        <v>73</v>
      </c>
      <c r="B72">
        <v>20</v>
      </c>
      <c r="C72" t="s">
        <v>47</v>
      </c>
      <c r="D72">
        <v>0.875</v>
      </c>
      <c r="E72">
        <v>0.7</v>
      </c>
      <c r="G72">
        <v>0</v>
      </c>
      <c r="H72" t="s">
        <v>47</v>
      </c>
    </row>
    <row r="73" spans="1:8" x14ac:dyDescent="0.45">
      <c r="A73" t="s">
        <v>73</v>
      </c>
      <c r="B73">
        <v>21</v>
      </c>
      <c r="C73" t="s">
        <v>47</v>
      </c>
      <c r="D73">
        <v>0.875</v>
      </c>
      <c r="E73">
        <v>0.7</v>
      </c>
      <c r="G73">
        <v>0</v>
      </c>
      <c r="H73" t="s">
        <v>47</v>
      </c>
    </row>
    <row r="74" spans="1:8" x14ac:dyDescent="0.45">
      <c r="A74" t="s">
        <v>73</v>
      </c>
      <c r="B74">
        <v>22</v>
      </c>
      <c r="C74" t="s">
        <v>47</v>
      </c>
      <c r="D74">
        <v>0.875</v>
      </c>
      <c r="E74">
        <v>0.7</v>
      </c>
      <c r="G74">
        <v>0</v>
      </c>
      <c r="H74" t="s">
        <v>47</v>
      </c>
    </row>
    <row r="75" spans="1:8" x14ac:dyDescent="0.45">
      <c r="A75" t="s">
        <v>73</v>
      </c>
      <c r="B75">
        <v>23</v>
      </c>
      <c r="C75" t="s">
        <v>47</v>
      </c>
      <c r="D75">
        <v>0.875</v>
      </c>
      <c r="E75">
        <v>0.7</v>
      </c>
      <c r="G75">
        <v>0</v>
      </c>
      <c r="H75" t="s">
        <v>47</v>
      </c>
    </row>
    <row r="76" spans="1:8" x14ac:dyDescent="0.45">
      <c r="A76" t="s">
        <v>73</v>
      </c>
      <c r="B76">
        <v>24</v>
      </c>
      <c r="C76" t="s">
        <v>47</v>
      </c>
      <c r="D76">
        <v>0.875</v>
      </c>
      <c r="E76">
        <v>0.7</v>
      </c>
      <c r="G76">
        <v>0</v>
      </c>
      <c r="H76" t="s">
        <v>47</v>
      </c>
    </row>
    <row r="77" spans="1:8" x14ac:dyDescent="0.45">
      <c r="A77" t="s">
        <v>74</v>
      </c>
      <c r="B77">
        <v>1</v>
      </c>
      <c r="C77" t="s">
        <v>22</v>
      </c>
      <c r="D77">
        <v>0.875</v>
      </c>
      <c r="E77">
        <v>0.7</v>
      </c>
      <c r="F77" t="s">
        <v>70</v>
      </c>
      <c r="G77">
        <v>0</v>
      </c>
      <c r="H77" t="s">
        <v>22</v>
      </c>
    </row>
    <row r="78" spans="1:8" x14ac:dyDescent="0.45">
      <c r="A78" t="s">
        <v>74</v>
      </c>
      <c r="B78">
        <v>2</v>
      </c>
      <c r="C78" t="s">
        <v>22</v>
      </c>
      <c r="D78">
        <v>0.875</v>
      </c>
      <c r="E78">
        <v>0.7</v>
      </c>
      <c r="G78">
        <v>0</v>
      </c>
      <c r="H78" t="s">
        <v>22</v>
      </c>
    </row>
    <row r="79" spans="1:8" x14ac:dyDescent="0.45">
      <c r="A79" t="s">
        <v>74</v>
      </c>
      <c r="B79">
        <v>3</v>
      </c>
      <c r="C79" t="s">
        <v>22</v>
      </c>
      <c r="D79">
        <v>0.875</v>
      </c>
      <c r="E79">
        <v>0.7</v>
      </c>
      <c r="G79">
        <v>0</v>
      </c>
      <c r="H79" t="s">
        <v>22</v>
      </c>
    </row>
    <row r="80" spans="1:8" x14ac:dyDescent="0.45">
      <c r="A80" t="s">
        <v>74</v>
      </c>
      <c r="B80">
        <v>4</v>
      </c>
      <c r="C80" t="s">
        <v>22</v>
      </c>
      <c r="D80">
        <v>0.875</v>
      </c>
      <c r="E80">
        <v>0.7</v>
      </c>
      <c r="G80">
        <v>0</v>
      </c>
      <c r="H80" t="s">
        <v>22</v>
      </c>
    </row>
    <row r="81" spans="1:8" x14ac:dyDescent="0.45">
      <c r="A81" t="s">
        <v>74</v>
      </c>
      <c r="B81">
        <v>5</v>
      </c>
      <c r="C81" t="s">
        <v>22</v>
      </c>
      <c r="D81">
        <v>0.875</v>
      </c>
      <c r="E81">
        <v>0.7</v>
      </c>
      <c r="G81">
        <v>0</v>
      </c>
      <c r="H81" t="s">
        <v>22</v>
      </c>
    </row>
    <row r="82" spans="1:8" x14ac:dyDescent="0.45">
      <c r="A82" t="s">
        <v>74</v>
      </c>
      <c r="B82">
        <v>6</v>
      </c>
      <c r="C82" t="s">
        <v>22</v>
      </c>
      <c r="D82">
        <v>0.625</v>
      </c>
      <c r="E82">
        <v>0.5</v>
      </c>
      <c r="G82">
        <v>0</v>
      </c>
      <c r="H82" t="s">
        <v>22</v>
      </c>
    </row>
    <row r="83" spans="1:8" x14ac:dyDescent="0.45">
      <c r="A83" t="s">
        <v>75</v>
      </c>
      <c r="B83">
        <v>1</v>
      </c>
      <c r="C83" t="s">
        <v>47</v>
      </c>
      <c r="D83">
        <v>0.875</v>
      </c>
      <c r="E83">
        <v>0.7</v>
      </c>
      <c r="F83" t="s">
        <v>70</v>
      </c>
      <c r="G83">
        <v>0</v>
      </c>
      <c r="H83" t="s">
        <v>47</v>
      </c>
    </row>
    <row r="84" spans="1:8" x14ac:dyDescent="0.45">
      <c r="A84" t="s">
        <v>75</v>
      </c>
      <c r="B84">
        <v>2</v>
      </c>
      <c r="C84" t="s">
        <v>47</v>
      </c>
      <c r="D84">
        <v>0.875</v>
      </c>
      <c r="E84">
        <v>0.7</v>
      </c>
      <c r="G84">
        <v>0</v>
      </c>
      <c r="H84" t="s">
        <v>47</v>
      </c>
    </row>
    <row r="85" spans="1:8" x14ac:dyDescent="0.45">
      <c r="A85" t="s">
        <v>75</v>
      </c>
      <c r="B85">
        <v>3</v>
      </c>
      <c r="C85" t="s">
        <v>47</v>
      </c>
      <c r="D85">
        <v>0.875</v>
      </c>
      <c r="E85">
        <v>0.7</v>
      </c>
      <c r="G85">
        <v>0</v>
      </c>
      <c r="H85" t="s">
        <v>47</v>
      </c>
    </row>
    <row r="86" spans="1:8" x14ac:dyDescent="0.45">
      <c r="A86" t="s">
        <v>75</v>
      </c>
      <c r="B86">
        <v>4</v>
      </c>
      <c r="C86" t="s">
        <v>47</v>
      </c>
      <c r="D86">
        <v>0.875</v>
      </c>
      <c r="E86">
        <v>0.7</v>
      </c>
      <c r="G86">
        <v>0</v>
      </c>
      <c r="H86" t="s">
        <v>47</v>
      </c>
    </row>
    <row r="87" spans="1:8" x14ac:dyDescent="0.45">
      <c r="A87" t="s">
        <v>75</v>
      </c>
      <c r="B87">
        <v>5</v>
      </c>
      <c r="C87" t="s">
        <v>47</v>
      </c>
      <c r="D87">
        <v>0.875</v>
      </c>
      <c r="E87">
        <v>0.7</v>
      </c>
      <c r="G87">
        <v>0</v>
      </c>
      <c r="H87" t="s">
        <v>47</v>
      </c>
    </row>
    <row r="88" spans="1:8" x14ac:dyDescent="0.45">
      <c r="A88" t="s">
        <v>75</v>
      </c>
      <c r="B88">
        <v>6</v>
      </c>
      <c r="C88" t="s">
        <v>47</v>
      </c>
      <c r="D88">
        <v>0.875</v>
      </c>
      <c r="E88">
        <v>0.7</v>
      </c>
      <c r="G88">
        <v>0</v>
      </c>
      <c r="H88" t="s">
        <v>47</v>
      </c>
    </row>
    <row r="89" spans="1:8" x14ac:dyDescent="0.45">
      <c r="A89" t="s">
        <v>75</v>
      </c>
      <c r="B89">
        <v>7</v>
      </c>
      <c r="C89" t="s">
        <v>47</v>
      </c>
      <c r="D89">
        <v>0.875</v>
      </c>
      <c r="E89">
        <v>0.7</v>
      </c>
      <c r="G89">
        <v>0</v>
      </c>
      <c r="H89" t="s">
        <v>47</v>
      </c>
    </row>
    <row r="90" spans="1:8" x14ac:dyDescent="0.45">
      <c r="A90" t="s">
        <v>75</v>
      </c>
      <c r="B90">
        <v>8</v>
      </c>
      <c r="C90" t="s">
        <v>47</v>
      </c>
      <c r="D90">
        <v>0.875</v>
      </c>
      <c r="E90">
        <v>0.7</v>
      </c>
      <c r="G90">
        <v>0</v>
      </c>
      <c r="H90" t="s">
        <v>47</v>
      </c>
    </row>
    <row r="91" spans="1:8" x14ac:dyDescent="0.45">
      <c r="A91" t="s">
        <v>75</v>
      </c>
      <c r="B91">
        <v>9</v>
      </c>
      <c r="C91" t="s">
        <v>47</v>
      </c>
      <c r="D91">
        <v>0.875</v>
      </c>
      <c r="E91">
        <v>0.7</v>
      </c>
      <c r="G91">
        <v>0</v>
      </c>
      <c r="H91" t="s">
        <v>47</v>
      </c>
    </row>
    <row r="92" spans="1:8" x14ac:dyDescent="0.45">
      <c r="A92" t="s">
        <v>75</v>
      </c>
      <c r="B92">
        <v>10</v>
      </c>
      <c r="C92" t="s">
        <v>47</v>
      </c>
      <c r="D92">
        <v>0.875</v>
      </c>
      <c r="E92">
        <v>0.7</v>
      </c>
      <c r="G92">
        <v>0</v>
      </c>
      <c r="H92" t="s">
        <v>47</v>
      </c>
    </row>
    <row r="93" spans="1:8" x14ac:dyDescent="0.45">
      <c r="A93" t="s">
        <v>75</v>
      </c>
      <c r="B93">
        <v>11</v>
      </c>
      <c r="C93" t="s">
        <v>47</v>
      </c>
      <c r="D93">
        <v>0.875</v>
      </c>
      <c r="E93">
        <v>0.7</v>
      </c>
      <c r="G93">
        <v>0</v>
      </c>
      <c r="H93" t="s">
        <v>47</v>
      </c>
    </row>
    <row r="94" spans="1:8" x14ac:dyDescent="0.45">
      <c r="A94" t="s">
        <v>75</v>
      </c>
      <c r="B94">
        <v>12</v>
      </c>
      <c r="C94" t="s">
        <v>47</v>
      </c>
      <c r="D94">
        <v>0.875</v>
      </c>
      <c r="E94">
        <v>0.7</v>
      </c>
      <c r="G94">
        <v>0</v>
      </c>
      <c r="H94" t="s">
        <v>47</v>
      </c>
    </row>
    <row r="95" spans="1:8" x14ac:dyDescent="0.45">
      <c r="A95" t="s">
        <v>75</v>
      </c>
      <c r="B95">
        <v>13</v>
      </c>
      <c r="C95" t="s">
        <v>47</v>
      </c>
      <c r="D95">
        <v>0.875</v>
      </c>
      <c r="E95">
        <v>0.7</v>
      </c>
      <c r="G95">
        <v>0</v>
      </c>
      <c r="H95" t="s">
        <v>47</v>
      </c>
    </row>
    <row r="96" spans="1:8" x14ac:dyDescent="0.45">
      <c r="A96" t="s">
        <v>75</v>
      </c>
      <c r="B96">
        <v>14</v>
      </c>
      <c r="C96" t="s">
        <v>47</v>
      </c>
      <c r="D96">
        <v>0.875</v>
      </c>
      <c r="E96">
        <v>0.7</v>
      </c>
      <c r="G96">
        <v>0</v>
      </c>
      <c r="H96" t="s">
        <v>47</v>
      </c>
    </row>
    <row r="97" spans="1:8" x14ac:dyDescent="0.45">
      <c r="A97" t="s">
        <v>75</v>
      </c>
      <c r="B97">
        <v>15</v>
      </c>
      <c r="C97" t="s">
        <v>47</v>
      </c>
      <c r="D97">
        <v>0.875</v>
      </c>
      <c r="E97">
        <v>0.7</v>
      </c>
      <c r="G97">
        <v>0</v>
      </c>
      <c r="H97" t="s">
        <v>47</v>
      </c>
    </row>
    <row r="98" spans="1:8" x14ac:dyDescent="0.45">
      <c r="A98" t="s">
        <v>75</v>
      </c>
      <c r="B98">
        <v>16</v>
      </c>
      <c r="C98" t="s">
        <v>47</v>
      </c>
      <c r="D98">
        <v>0.875</v>
      </c>
      <c r="E98">
        <v>0.7</v>
      </c>
      <c r="G98">
        <v>0</v>
      </c>
      <c r="H98" t="s">
        <v>47</v>
      </c>
    </row>
    <row r="99" spans="1:8" x14ac:dyDescent="0.45">
      <c r="A99" t="s">
        <v>75</v>
      </c>
      <c r="B99">
        <v>17</v>
      </c>
      <c r="C99" t="s">
        <v>47</v>
      </c>
      <c r="D99">
        <v>0.875</v>
      </c>
      <c r="E99">
        <v>0.7</v>
      </c>
      <c r="G99">
        <v>0</v>
      </c>
      <c r="H99" t="s">
        <v>47</v>
      </c>
    </row>
    <row r="100" spans="1:8" x14ac:dyDescent="0.45">
      <c r="A100" t="s">
        <v>75</v>
      </c>
      <c r="B100">
        <v>18</v>
      </c>
      <c r="C100" t="s">
        <v>47</v>
      </c>
      <c r="D100">
        <v>0.875</v>
      </c>
      <c r="E100">
        <v>0.7</v>
      </c>
      <c r="G100">
        <v>0</v>
      </c>
      <c r="H100" t="s">
        <v>47</v>
      </c>
    </row>
    <row r="101" spans="1:8" x14ac:dyDescent="0.45">
      <c r="A101" t="s">
        <v>75</v>
      </c>
      <c r="B101">
        <v>19</v>
      </c>
      <c r="C101" t="s">
        <v>47</v>
      </c>
      <c r="D101">
        <v>0.875</v>
      </c>
      <c r="E101">
        <v>0.7</v>
      </c>
      <c r="G101">
        <v>0</v>
      </c>
      <c r="H101" t="s">
        <v>47</v>
      </c>
    </row>
    <row r="102" spans="1:8" x14ac:dyDescent="0.45">
      <c r="A102" t="s">
        <v>75</v>
      </c>
      <c r="B102">
        <v>20</v>
      </c>
      <c r="C102" t="s">
        <v>47</v>
      </c>
      <c r="D102">
        <v>0.875</v>
      </c>
      <c r="E102">
        <v>0.7</v>
      </c>
      <c r="G102">
        <v>0</v>
      </c>
      <c r="H102" t="s">
        <v>47</v>
      </c>
    </row>
    <row r="103" spans="1:8" x14ac:dyDescent="0.45">
      <c r="A103" t="s">
        <v>75</v>
      </c>
      <c r="B103">
        <v>21</v>
      </c>
      <c r="C103" t="s">
        <v>47</v>
      </c>
      <c r="D103">
        <v>0.875</v>
      </c>
      <c r="E103">
        <v>0.7</v>
      </c>
      <c r="G103">
        <v>0</v>
      </c>
      <c r="H103" t="s">
        <v>47</v>
      </c>
    </row>
    <row r="104" spans="1:8" x14ac:dyDescent="0.45">
      <c r="A104" t="s">
        <v>75</v>
      </c>
      <c r="B104">
        <v>22</v>
      </c>
      <c r="C104" t="s">
        <v>47</v>
      </c>
      <c r="D104">
        <v>0.875</v>
      </c>
      <c r="E104">
        <v>0.7</v>
      </c>
      <c r="G104">
        <v>0</v>
      </c>
      <c r="H104" t="s">
        <v>47</v>
      </c>
    </row>
    <row r="105" spans="1:8" x14ac:dyDescent="0.45">
      <c r="A105" t="s">
        <v>75</v>
      </c>
      <c r="B105">
        <v>23</v>
      </c>
      <c r="C105" t="s">
        <v>47</v>
      </c>
      <c r="D105">
        <v>0.875</v>
      </c>
      <c r="E105">
        <v>0.7</v>
      </c>
      <c r="G105">
        <v>0</v>
      </c>
      <c r="H105" t="s">
        <v>47</v>
      </c>
    </row>
    <row r="106" spans="1:8" x14ac:dyDescent="0.45">
      <c r="A106" t="s">
        <v>75</v>
      </c>
      <c r="B106">
        <v>24</v>
      </c>
      <c r="C106" t="s">
        <v>47</v>
      </c>
      <c r="D106">
        <v>0.875</v>
      </c>
      <c r="E106">
        <v>0.7</v>
      </c>
      <c r="G106">
        <v>0</v>
      </c>
      <c r="H106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/>
  </sheetViews>
  <sheetFormatPr baseColWidth="10" defaultColWidth="9.06640625" defaultRowHeight="14.25" x14ac:dyDescent="0.45"/>
  <sheetData>
    <row r="1" spans="1:8" x14ac:dyDescent="0.4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2</v>
      </c>
    </row>
    <row r="2" spans="1:8" x14ac:dyDescent="0.45">
      <c r="A2" t="s">
        <v>47</v>
      </c>
      <c r="B2" t="s">
        <v>83</v>
      </c>
      <c r="C2">
        <v>0</v>
      </c>
      <c r="D2">
        <v>0</v>
      </c>
      <c r="E2">
        <v>0</v>
      </c>
      <c r="F2">
        <v>0</v>
      </c>
      <c r="G2">
        <v>0</v>
      </c>
      <c r="H2">
        <v>397.92</v>
      </c>
    </row>
    <row r="3" spans="1:8" x14ac:dyDescent="0.45">
      <c r="A3" t="s">
        <v>51</v>
      </c>
      <c r="B3" t="s">
        <v>83</v>
      </c>
      <c r="C3">
        <v>0</v>
      </c>
      <c r="D3">
        <v>0</v>
      </c>
      <c r="E3">
        <v>0</v>
      </c>
      <c r="F3">
        <v>0</v>
      </c>
      <c r="G3">
        <v>0</v>
      </c>
      <c r="H3">
        <v>302.74681012658232</v>
      </c>
    </row>
    <row r="4" spans="1:8" x14ac:dyDescent="0.45">
      <c r="A4" t="s">
        <v>34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247.5535696202532</v>
      </c>
    </row>
    <row r="5" spans="1:8" x14ac:dyDescent="0.45">
      <c r="A5" t="s">
        <v>46</v>
      </c>
      <c r="B5" t="s">
        <v>83</v>
      </c>
      <c r="C5">
        <v>0</v>
      </c>
      <c r="D5">
        <v>0</v>
      </c>
      <c r="E5">
        <v>0</v>
      </c>
      <c r="F5">
        <v>0</v>
      </c>
      <c r="G5">
        <v>0</v>
      </c>
      <c r="H5">
        <v>170.74681012658229</v>
      </c>
    </row>
    <row r="6" spans="1:8" x14ac:dyDescent="0.45">
      <c r="A6" t="s">
        <v>30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155.13503797468351</v>
      </c>
    </row>
    <row r="7" spans="1:8" x14ac:dyDescent="0.45">
      <c r="A7" t="s">
        <v>39</v>
      </c>
      <c r="B7" t="s">
        <v>83</v>
      </c>
      <c r="C7">
        <v>0</v>
      </c>
      <c r="D7">
        <v>0</v>
      </c>
      <c r="E7">
        <v>0</v>
      </c>
      <c r="F7">
        <v>0</v>
      </c>
      <c r="G7">
        <v>0</v>
      </c>
      <c r="H7">
        <v>146.81706329113919</v>
      </c>
    </row>
    <row r="8" spans="1:8" x14ac:dyDescent="0.45">
      <c r="A8" t="s">
        <v>31</v>
      </c>
      <c r="B8" t="s">
        <v>83</v>
      </c>
      <c r="C8">
        <v>0</v>
      </c>
      <c r="D8">
        <v>0</v>
      </c>
      <c r="E8">
        <v>0</v>
      </c>
      <c r="F8">
        <v>0</v>
      </c>
      <c r="G8">
        <v>0</v>
      </c>
      <c r="H8">
        <v>84.395088607594943</v>
      </c>
    </row>
    <row r="9" spans="1:8" x14ac:dyDescent="0.45">
      <c r="A9" t="s">
        <v>45</v>
      </c>
      <c r="B9" t="s">
        <v>83</v>
      </c>
      <c r="C9">
        <v>0</v>
      </c>
      <c r="D9">
        <v>0</v>
      </c>
      <c r="E9">
        <v>0</v>
      </c>
      <c r="F9">
        <v>0</v>
      </c>
      <c r="G9">
        <v>0</v>
      </c>
      <c r="H9">
        <v>84.346810126582284</v>
      </c>
    </row>
    <row r="10" spans="1:8" x14ac:dyDescent="0.45">
      <c r="A10" t="s">
        <v>42</v>
      </c>
      <c r="B10" t="s">
        <v>83</v>
      </c>
      <c r="C10">
        <v>0</v>
      </c>
      <c r="D10">
        <v>0</v>
      </c>
      <c r="E10">
        <v>0</v>
      </c>
      <c r="F10">
        <v>0</v>
      </c>
      <c r="G10">
        <v>0</v>
      </c>
      <c r="H10">
        <v>68.886759493670894</v>
      </c>
    </row>
    <row r="11" spans="1:8" x14ac:dyDescent="0.45">
      <c r="A11" t="s">
        <v>19</v>
      </c>
      <c r="B11" t="s">
        <v>83</v>
      </c>
      <c r="C11">
        <v>0</v>
      </c>
      <c r="D11">
        <v>0</v>
      </c>
      <c r="E11">
        <v>0</v>
      </c>
      <c r="F11">
        <v>0</v>
      </c>
      <c r="G11">
        <v>0</v>
      </c>
      <c r="H11">
        <v>54.097670886075953</v>
      </c>
    </row>
    <row r="12" spans="1:8" x14ac:dyDescent="0.45">
      <c r="A12" t="s">
        <v>23</v>
      </c>
      <c r="B12" t="s">
        <v>83</v>
      </c>
      <c r="C12">
        <v>0</v>
      </c>
      <c r="D12">
        <v>0</v>
      </c>
      <c r="E12">
        <v>0</v>
      </c>
      <c r="F12">
        <v>0</v>
      </c>
      <c r="G12">
        <v>0</v>
      </c>
      <c r="H12">
        <v>53.175164556962031</v>
      </c>
    </row>
    <row r="13" spans="1:8" x14ac:dyDescent="0.45">
      <c r="A13" t="s">
        <v>28</v>
      </c>
      <c r="B13" t="s">
        <v>83</v>
      </c>
      <c r="C13">
        <v>0</v>
      </c>
      <c r="D13">
        <v>0</v>
      </c>
      <c r="E13">
        <v>0</v>
      </c>
      <c r="F13">
        <v>0</v>
      </c>
      <c r="G13">
        <v>0</v>
      </c>
      <c r="H13">
        <v>33.968151898734178</v>
      </c>
    </row>
    <row r="14" spans="1:8" x14ac:dyDescent="0.45">
      <c r="A14" t="s">
        <v>21</v>
      </c>
      <c r="B14" t="s">
        <v>83</v>
      </c>
      <c r="C14">
        <v>0</v>
      </c>
      <c r="D14">
        <v>0</v>
      </c>
      <c r="E14">
        <v>0</v>
      </c>
      <c r="F14">
        <v>0</v>
      </c>
      <c r="G14">
        <v>0</v>
      </c>
      <c r="H14">
        <v>30.486759493670888</v>
      </c>
    </row>
    <row r="15" spans="1:8" x14ac:dyDescent="0.45">
      <c r="A15" t="s">
        <v>38</v>
      </c>
      <c r="B15" t="s">
        <v>83</v>
      </c>
      <c r="C15">
        <v>0</v>
      </c>
      <c r="D15">
        <v>0</v>
      </c>
      <c r="E15">
        <v>0</v>
      </c>
      <c r="F15">
        <v>0</v>
      </c>
      <c r="G15">
        <v>0</v>
      </c>
      <c r="H15">
        <v>25.686759493670881</v>
      </c>
    </row>
    <row r="16" spans="1:8" x14ac:dyDescent="0.45">
      <c r="A16" t="s">
        <v>26</v>
      </c>
      <c r="B16" t="s">
        <v>83</v>
      </c>
      <c r="C16">
        <v>0</v>
      </c>
      <c r="D16">
        <v>0</v>
      </c>
      <c r="E16">
        <v>0</v>
      </c>
      <c r="F16">
        <v>0</v>
      </c>
      <c r="G16">
        <v>0</v>
      </c>
      <c r="H16">
        <v>21.958987341772151</v>
      </c>
    </row>
    <row r="17" spans="1:8" x14ac:dyDescent="0.45">
      <c r="A17" t="s">
        <v>32</v>
      </c>
      <c r="B17" t="s">
        <v>83</v>
      </c>
      <c r="C17">
        <v>0</v>
      </c>
      <c r="D17">
        <v>0</v>
      </c>
      <c r="E17">
        <v>0</v>
      </c>
      <c r="F17">
        <v>0</v>
      </c>
      <c r="G17">
        <v>0</v>
      </c>
      <c r="H17">
        <v>14.75356962025316</v>
      </c>
    </row>
    <row r="18" spans="1:8" x14ac:dyDescent="0.45">
      <c r="A18" t="s">
        <v>44</v>
      </c>
      <c r="B18" t="s">
        <v>83</v>
      </c>
      <c r="C18">
        <v>0</v>
      </c>
      <c r="D18">
        <v>0</v>
      </c>
      <c r="E18">
        <v>0</v>
      </c>
      <c r="F18">
        <v>0</v>
      </c>
      <c r="G18">
        <v>0</v>
      </c>
      <c r="H18">
        <v>9.9468101265822781</v>
      </c>
    </row>
    <row r="19" spans="1:8" x14ac:dyDescent="0.45">
      <c r="A19" t="s">
        <v>40</v>
      </c>
      <c r="B19" t="s">
        <v>83</v>
      </c>
      <c r="C19">
        <v>0</v>
      </c>
      <c r="D19">
        <v>0</v>
      </c>
      <c r="E19">
        <v>0</v>
      </c>
      <c r="F19">
        <v>0</v>
      </c>
      <c r="G19">
        <v>0</v>
      </c>
      <c r="H19">
        <v>8.8867594936708869</v>
      </c>
    </row>
    <row r="20" spans="1:8" x14ac:dyDescent="0.45">
      <c r="A20" t="s">
        <v>35</v>
      </c>
      <c r="B20" t="s">
        <v>83</v>
      </c>
      <c r="C20">
        <v>0</v>
      </c>
      <c r="D20">
        <v>0</v>
      </c>
      <c r="E20">
        <v>0</v>
      </c>
      <c r="F20">
        <v>0</v>
      </c>
      <c r="G20">
        <v>0</v>
      </c>
      <c r="H20">
        <v>7.5950886075949366</v>
      </c>
    </row>
    <row r="21" spans="1:8" x14ac:dyDescent="0.45">
      <c r="A21" t="s">
        <v>33</v>
      </c>
      <c r="B21" t="s">
        <v>83</v>
      </c>
      <c r="C21">
        <v>0</v>
      </c>
      <c r="D21">
        <v>0</v>
      </c>
      <c r="E21">
        <v>0</v>
      </c>
      <c r="F21">
        <v>0</v>
      </c>
      <c r="G21">
        <v>0</v>
      </c>
      <c r="H21">
        <v>7.558987341772152</v>
      </c>
    </row>
    <row r="22" spans="1:8" x14ac:dyDescent="0.45">
      <c r="A22" t="s">
        <v>22</v>
      </c>
      <c r="B22" t="s">
        <v>83</v>
      </c>
      <c r="C22">
        <v>0</v>
      </c>
      <c r="D22">
        <v>0</v>
      </c>
      <c r="E22">
        <v>0</v>
      </c>
      <c r="F22">
        <v>0</v>
      </c>
      <c r="G22">
        <v>0</v>
      </c>
      <c r="H22">
        <v>6</v>
      </c>
    </row>
    <row r="23" spans="1:8" x14ac:dyDescent="0.45">
      <c r="A23" t="s">
        <v>24</v>
      </c>
      <c r="B23" t="s">
        <v>83</v>
      </c>
      <c r="C23">
        <v>0</v>
      </c>
      <c r="D23">
        <v>0</v>
      </c>
      <c r="E23">
        <v>0</v>
      </c>
      <c r="F23">
        <v>0</v>
      </c>
      <c r="G23">
        <v>0</v>
      </c>
      <c r="H23">
        <v>5.2170632911392403</v>
      </c>
    </row>
    <row r="24" spans="1:8" x14ac:dyDescent="0.45">
      <c r="A24" t="s">
        <v>50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5.1950886075949363</v>
      </c>
    </row>
    <row r="25" spans="1:8" x14ac:dyDescent="0.45">
      <c r="A25" t="s">
        <v>27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5.1751645569620246</v>
      </c>
    </row>
    <row r="26" spans="1:8" x14ac:dyDescent="0.45">
      <c r="A26" t="s">
        <v>29</v>
      </c>
      <c r="B26" t="s">
        <v>83</v>
      </c>
      <c r="C26">
        <v>0</v>
      </c>
      <c r="D26">
        <v>0</v>
      </c>
      <c r="E26">
        <v>0</v>
      </c>
      <c r="F26">
        <v>0</v>
      </c>
      <c r="G26">
        <v>0</v>
      </c>
      <c r="H26">
        <v>5.1589873417721517</v>
      </c>
    </row>
    <row r="27" spans="1:8" x14ac:dyDescent="0.45">
      <c r="A27" t="s">
        <v>49</v>
      </c>
      <c r="B27" t="s">
        <v>83</v>
      </c>
      <c r="C27">
        <v>0</v>
      </c>
      <c r="D27">
        <v>0</v>
      </c>
      <c r="E27">
        <v>0</v>
      </c>
      <c r="F27">
        <v>0</v>
      </c>
      <c r="G27">
        <v>0</v>
      </c>
      <c r="H27">
        <v>5.1535696202531636</v>
      </c>
    </row>
    <row r="28" spans="1:8" x14ac:dyDescent="0.45">
      <c r="A28" t="s">
        <v>41</v>
      </c>
      <c r="B28" t="s">
        <v>83</v>
      </c>
      <c r="C28">
        <v>0</v>
      </c>
      <c r="D28">
        <v>0</v>
      </c>
      <c r="E28">
        <v>0</v>
      </c>
      <c r="F28">
        <v>0</v>
      </c>
      <c r="G28">
        <v>0</v>
      </c>
      <c r="H28">
        <v>4.0867594936708862</v>
      </c>
    </row>
    <row r="29" spans="1:8" x14ac:dyDescent="0.45">
      <c r="A29" t="s">
        <v>25</v>
      </c>
      <c r="B29" t="s">
        <v>83</v>
      </c>
      <c r="C29">
        <v>0</v>
      </c>
      <c r="D29">
        <v>0</v>
      </c>
      <c r="E29">
        <v>0</v>
      </c>
      <c r="F29">
        <v>0</v>
      </c>
      <c r="G29">
        <v>0</v>
      </c>
      <c r="H29">
        <v>3</v>
      </c>
    </row>
    <row r="30" spans="1:8" x14ac:dyDescent="0.45">
      <c r="A30" t="s">
        <v>36</v>
      </c>
      <c r="B30" t="s">
        <v>83</v>
      </c>
      <c r="C30">
        <v>0</v>
      </c>
      <c r="D30">
        <v>0</v>
      </c>
      <c r="E30">
        <v>0</v>
      </c>
      <c r="F30">
        <v>0</v>
      </c>
      <c r="G30">
        <v>0</v>
      </c>
      <c r="H30">
        <v>2.7950886075949368</v>
      </c>
    </row>
    <row r="31" spans="1:8" x14ac:dyDescent="0.45">
      <c r="A31" t="s">
        <v>37</v>
      </c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2.7950886075949368</v>
      </c>
    </row>
    <row r="32" spans="1:8" x14ac:dyDescent="0.45">
      <c r="A32" t="s">
        <v>43</v>
      </c>
      <c r="B32" t="s">
        <v>83</v>
      </c>
      <c r="C32">
        <v>0</v>
      </c>
      <c r="D32">
        <v>0</v>
      </c>
      <c r="E32">
        <v>0</v>
      </c>
      <c r="F32">
        <v>0</v>
      </c>
      <c r="G32">
        <v>0</v>
      </c>
      <c r="H32">
        <v>2.746810126582278</v>
      </c>
    </row>
    <row r="33" spans="1:8" x14ac:dyDescent="0.45">
      <c r="A33" t="s">
        <v>73</v>
      </c>
      <c r="B33" t="s">
        <v>84</v>
      </c>
      <c r="C33">
        <v>0</v>
      </c>
      <c r="D33">
        <v>0</v>
      </c>
      <c r="E33">
        <v>12</v>
      </c>
      <c r="F33">
        <v>2.016</v>
      </c>
      <c r="G33">
        <v>1.715000000000001</v>
      </c>
      <c r="H33">
        <v>15.731</v>
      </c>
    </row>
    <row r="34" spans="1:8" x14ac:dyDescent="0.45">
      <c r="A34" t="s">
        <v>75</v>
      </c>
      <c r="B34" t="s">
        <v>84</v>
      </c>
      <c r="C34">
        <v>0</v>
      </c>
      <c r="D34">
        <v>0</v>
      </c>
      <c r="E34">
        <v>12</v>
      </c>
      <c r="F34">
        <v>2.016</v>
      </c>
      <c r="G34">
        <v>1.715000000000001</v>
      </c>
      <c r="H34">
        <v>15.731</v>
      </c>
    </row>
    <row r="35" spans="1:8" x14ac:dyDescent="0.45">
      <c r="A35" t="s">
        <v>71</v>
      </c>
      <c r="B35" t="s">
        <v>84</v>
      </c>
      <c r="C35">
        <v>0</v>
      </c>
      <c r="D35">
        <v>0</v>
      </c>
      <c r="E35">
        <v>12</v>
      </c>
      <c r="F35">
        <v>2.016</v>
      </c>
      <c r="G35">
        <v>1.715000000000001</v>
      </c>
      <c r="H35">
        <v>15.731</v>
      </c>
    </row>
    <row r="36" spans="1:8" x14ac:dyDescent="0.45">
      <c r="A36" t="s">
        <v>69</v>
      </c>
      <c r="B36" t="s">
        <v>84</v>
      </c>
      <c r="C36">
        <v>0</v>
      </c>
      <c r="D36">
        <v>0</v>
      </c>
      <c r="E36">
        <v>12</v>
      </c>
      <c r="F36">
        <v>2.016</v>
      </c>
      <c r="G36">
        <v>1.715000000000001</v>
      </c>
      <c r="H36">
        <v>15.731</v>
      </c>
    </row>
    <row r="37" spans="1:8" x14ac:dyDescent="0.45">
      <c r="A37" t="s">
        <v>74</v>
      </c>
      <c r="B37" t="s">
        <v>84</v>
      </c>
      <c r="C37">
        <v>0</v>
      </c>
      <c r="D37">
        <v>0</v>
      </c>
      <c r="E37">
        <v>3</v>
      </c>
      <c r="F37">
        <v>0.47999999999999993</v>
      </c>
      <c r="G37">
        <v>0.42875000000000002</v>
      </c>
      <c r="H37">
        <v>3.9087499999999999</v>
      </c>
    </row>
    <row r="38" spans="1:8" x14ac:dyDescent="0.45">
      <c r="A38" t="s">
        <v>72</v>
      </c>
      <c r="B38" t="s">
        <v>84</v>
      </c>
      <c r="C38">
        <v>0</v>
      </c>
      <c r="D38">
        <v>0</v>
      </c>
      <c r="E38">
        <v>1.5</v>
      </c>
      <c r="F38">
        <v>0.24</v>
      </c>
      <c r="G38">
        <v>0.21437500000000001</v>
      </c>
      <c r="H38">
        <v>1.954375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Resumen_Total</vt:lpstr>
      <vt:lpstr>Tipo_Ciudad_Final</vt:lpstr>
      <vt:lpstr>Costos_por_Ciudad</vt:lpstr>
      <vt:lpstr>Plan_Diario</vt:lpstr>
      <vt:lpstr>Costos_Detalle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2025-12-22T19:48:30Z</dcterms:created>
  <dcterms:modified xsi:type="dcterms:W3CDTF">2025-12-22T19:49:35Z</dcterms:modified>
</cp:coreProperties>
</file>