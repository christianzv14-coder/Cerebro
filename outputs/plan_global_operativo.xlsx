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fd171dda8de17894/Desktop/cerebro-patio/Cerebro/outputs/"/>
    </mc:Choice>
  </mc:AlternateContent>
  <xr:revisionPtr revIDLastSave="39" documentId="11_86A3AC4B28A29B8087C4295461F4844A421ABA12" xr6:coauthVersionLast="47" xr6:coauthVersionMax="47" xr10:uidLastSave="{5E007ACA-03FB-4894-93B9-032810A01702}"/>
  <bookViews>
    <workbookView xWindow="-98" yWindow="-98" windowWidth="21795" windowHeight="12975" activeTab="1" xr2:uid="{00000000-000D-0000-FFFF-FFFF00000000}"/>
  </bookViews>
  <sheets>
    <sheet name="Resumen_Total" sheetId="1" r:id="rId1"/>
    <sheet name="Costos_por_Ciudad" sheetId="2" r:id="rId2"/>
    <sheet name="Plan_Diario" sheetId="3" r:id="rId3"/>
    <sheet name="Costos_Detall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</calcChain>
</file>

<file path=xl/sharedStrings.xml><?xml version="1.0" encoding="utf-8"?>
<sst xmlns="http://schemas.openxmlformats.org/spreadsheetml/2006/main" count="143" uniqueCount="57">
  <si>
    <t>metric</t>
  </si>
  <si>
    <t>value</t>
  </si>
  <si>
    <t>total_uf</t>
  </si>
  <si>
    <t>total_interno_uf</t>
  </si>
  <si>
    <t>total_externo_sin_materiales_uf</t>
  </si>
  <si>
    <t>materiales_total_uf</t>
  </si>
  <si>
    <t>gps_total</t>
  </si>
  <si>
    <t>dias_max_proyecto</t>
  </si>
  <si>
    <t>nota</t>
  </si>
  <si>
    <t>FTE aplicado: horas_sem=FTE*(DIAS_SEM*H_DIA); dias_disp=floor(FTE*DIAS_MAX). Interno=asignación factible; externo=remanente.</t>
  </si>
  <si>
    <t>ciudad</t>
  </si>
  <si>
    <t>gps_internos</t>
  </si>
  <si>
    <t>gps_externos</t>
  </si>
  <si>
    <t>pxq_unit_uf_gps</t>
  </si>
  <si>
    <t>pxq_uf</t>
  </si>
  <si>
    <t>flete_uf</t>
  </si>
  <si>
    <t>materiales_uf</t>
  </si>
  <si>
    <t>total_ciudad_uf</t>
  </si>
  <si>
    <t>Temuco</t>
  </si>
  <si>
    <t>Talca</t>
  </si>
  <si>
    <t>Santiago</t>
  </si>
  <si>
    <t>Coquimbo</t>
  </si>
  <si>
    <t>Antofagasta</t>
  </si>
  <si>
    <t>Puerto Montt</t>
  </si>
  <si>
    <t>La Serena</t>
  </si>
  <si>
    <t>Concepción</t>
  </si>
  <si>
    <t>Chillán</t>
  </si>
  <si>
    <t>Chiloé</t>
  </si>
  <si>
    <t>Curicó</t>
  </si>
  <si>
    <t>Rancagua</t>
  </si>
  <si>
    <t>Valparaíso</t>
  </si>
  <si>
    <t>Los Ángeles</t>
  </si>
  <si>
    <t>Curanilahue</t>
  </si>
  <si>
    <t>tecnico</t>
  </si>
  <si>
    <t>dia</t>
  </si>
  <si>
    <t>ciudad_trabajo</t>
  </si>
  <si>
    <t>horas_instal</t>
  </si>
  <si>
    <t>gps_inst</t>
  </si>
  <si>
    <t>viaje_modo_manana</t>
  </si>
  <si>
    <t>viaje_h_manana</t>
  </si>
  <si>
    <t>duerme_en</t>
  </si>
  <si>
    <t>Jimmy</t>
  </si>
  <si>
    <t>terrestre</t>
  </si>
  <si>
    <t>Luis</t>
  </si>
  <si>
    <t>Orlando</t>
  </si>
  <si>
    <t>responsable</t>
  </si>
  <si>
    <t>tipo</t>
  </si>
  <si>
    <t>travel_uf</t>
  </si>
  <si>
    <t>aloj_uf</t>
  </si>
  <si>
    <t>alm_uf</t>
  </si>
  <si>
    <t>inc_uf</t>
  </si>
  <si>
    <t>sueldo_uf</t>
  </si>
  <si>
    <t>EXTERNO</t>
  </si>
  <si>
    <t>INTERNO</t>
  </si>
  <si>
    <t>MATERIALES (TOTAL)</t>
  </si>
  <si>
    <t>MATERIALES</t>
  </si>
  <si>
    <t>materiales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</si>
</sst>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8"/>
  <sheetViews>
    <sheetView workbookViewId="0">
      <selection activeCell="C3" sqref="C3"/>
    </sheetView>
  </sheetViews>
  <sheetFormatPr baseColWidth="10" defaultColWidth="9.06640625" defaultRowHeight="14.25" x14ac:dyDescent="0.45"/>
  <sheetData>
    <row r="1" spans="1:3" x14ac:dyDescent="0.45">
      <c r="A1" s="1" t="s">
        <v>0</v>
      </c>
      <c r="B1" s="1" t="s">
        <v>1</v>
      </c>
    </row>
    <row r="2" spans="1:3" x14ac:dyDescent="0.45">
      <c r="A2" t="s">
        <v>2</v>
      </c>
      <c r="B2">
        <v>455.4737805907173</v>
      </c>
      <c r="C2">
        <f>B2-B5</f>
        <v>212.26378059071729</v>
      </c>
    </row>
    <row r="3" spans="1:3" x14ac:dyDescent="0.45">
      <c r="A3" t="s">
        <v>3</v>
      </c>
      <c r="B3">
        <v>38.471324894514773</v>
      </c>
    </row>
    <row r="4" spans="1:3" x14ac:dyDescent="0.45">
      <c r="A4" t="s">
        <v>4</v>
      </c>
      <c r="B4">
        <v>173.79245569620261</v>
      </c>
    </row>
    <row r="5" spans="1:3" x14ac:dyDescent="0.45">
      <c r="A5" t="s">
        <v>5</v>
      </c>
      <c r="B5">
        <v>243.21</v>
      </c>
    </row>
    <row r="6" spans="1:3" x14ac:dyDescent="0.45">
      <c r="A6" t="s">
        <v>6</v>
      </c>
      <c r="B6">
        <v>121</v>
      </c>
    </row>
    <row r="7" spans="1:3" x14ac:dyDescent="0.45">
      <c r="A7" t="s">
        <v>7</v>
      </c>
      <c r="B7">
        <v>24</v>
      </c>
    </row>
    <row r="8" spans="1:3" x14ac:dyDescent="0.45">
      <c r="A8" t="s">
        <v>8</v>
      </c>
      <c r="B8" t="s">
        <v>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6"/>
  <sheetViews>
    <sheetView tabSelected="1" workbookViewId="0">
      <selection activeCell="E9" sqref="E9"/>
    </sheetView>
  </sheetViews>
  <sheetFormatPr baseColWidth="10" defaultColWidth="11.3984375" defaultRowHeight="14.25" x14ac:dyDescent="0.45"/>
  <cols>
    <col min="1" max="1" width="11.46484375" bestFit="1" customWidth="1"/>
    <col min="2" max="2" width="8.265625" bestFit="1" customWidth="1"/>
    <col min="3" max="3" width="11.265625" bestFit="1" customWidth="1"/>
    <col min="4" max="4" width="11.59765625" bestFit="1" customWidth="1"/>
    <col min="5" max="5" width="14.265625" bestFit="1" customWidth="1"/>
    <col min="6" max="6" width="6.33203125" bestFit="1" customWidth="1"/>
    <col min="7" max="7" width="11.73046875" bestFit="1" customWidth="1"/>
    <col min="8" max="8" width="11.86328125" customWidth="1"/>
    <col min="9" max="9" width="13.46484375" bestFit="1" customWidth="1"/>
  </cols>
  <sheetData>
    <row r="1" spans="1:9" x14ac:dyDescent="0.45">
      <c r="A1" s="1" t="s">
        <v>10</v>
      </c>
      <c r="B1" s="1" t="s">
        <v>6</v>
      </c>
      <c r="C1" s="1" t="s">
        <v>11</v>
      </c>
      <c r="D1" s="1" t="s">
        <v>12</v>
      </c>
      <c r="E1" s="1" t="s">
        <v>13</v>
      </c>
      <c r="F1" s="1" t="s">
        <v>14</v>
      </c>
      <c r="G1" s="1" t="s">
        <v>15</v>
      </c>
      <c r="H1" s="1" t="s">
        <v>56</v>
      </c>
      <c r="I1" s="1" t="s">
        <v>17</v>
      </c>
    </row>
    <row r="2" spans="1:9" x14ac:dyDescent="0.45">
      <c r="A2" t="s">
        <v>18</v>
      </c>
      <c r="B2">
        <v>14</v>
      </c>
      <c r="C2">
        <v>0</v>
      </c>
      <c r="D2">
        <v>14</v>
      </c>
      <c r="E2">
        <v>2.2000000000000002</v>
      </c>
      <c r="F2">
        <v>30.8</v>
      </c>
      <c r="G2">
        <v>0.34430379746835438</v>
      </c>
      <c r="H2">
        <v>28.14</v>
      </c>
      <c r="I2">
        <v>59.284303797468347</v>
      </c>
    </row>
    <row r="3" spans="1:9" x14ac:dyDescent="0.45">
      <c r="A3" t="s">
        <v>19</v>
      </c>
      <c r="B3">
        <v>9</v>
      </c>
      <c r="C3">
        <v>0</v>
      </c>
      <c r="D3">
        <v>9</v>
      </c>
      <c r="E3">
        <v>2.2000000000000002</v>
      </c>
      <c r="F3">
        <v>19.8</v>
      </c>
      <c r="G3">
        <v>0.35356962025316457</v>
      </c>
      <c r="H3">
        <v>18.09</v>
      </c>
      <c r="I3">
        <v>38.243569620253162</v>
      </c>
    </row>
    <row r="4" spans="1:9" x14ac:dyDescent="0.45">
      <c r="A4" t="s">
        <v>20</v>
      </c>
      <c r="B4">
        <v>19</v>
      </c>
      <c r="C4">
        <v>19</v>
      </c>
      <c r="D4">
        <v>0</v>
      </c>
      <c r="E4">
        <v>2.2000000000000002</v>
      </c>
      <c r="F4">
        <v>0</v>
      </c>
      <c r="G4">
        <v>0</v>
      </c>
      <c r="H4">
        <v>38.19</v>
      </c>
      <c r="I4">
        <v>38.19</v>
      </c>
    </row>
    <row r="5" spans="1:9" x14ac:dyDescent="0.45">
      <c r="A5" t="s">
        <v>21</v>
      </c>
      <c r="B5">
        <v>8</v>
      </c>
      <c r="C5">
        <v>0</v>
      </c>
      <c r="D5">
        <v>8</v>
      </c>
      <c r="E5">
        <v>2.2000000000000002</v>
      </c>
      <c r="F5">
        <v>17.600000000000001</v>
      </c>
      <c r="G5">
        <v>0.3681518987341772</v>
      </c>
      <c r="H5">
        <v>16.079999999999998</v>
      </c>
      <c r="I5">
        <v>34.048151898734183</v>
      </c>
    </row>
    <row r="6" spans="1:9" x14ac:dyDescent="0.45">
      <c r="A6" t="s">
        <v>22</v>
      </c>
      <c r="B6">
        <v>13</v>
      </c>
      <c r="C6">
        <v>13</v>
      </c>
      <c r="D6">
        <v>0</v>
      </c>
      <c r="E6">
        <v>2.2000000000000002</v>
      </c>
      <c r="F6">
        <v>0</v>
      </c>
      <c r="G6">
        <v>0</v>
      </c>
      <c r="H6">
        <v>26.13</v>
      </c>
      <c r="I6">
        <v>26.13</v>
      </c>
    </row>
    <row r="7" spans="1:9" x14ac:dyDescent="0.45">
      <c r="A7" t="s">
        <v>23</v>
      </c>
      <c r="B7">
        <v>6</v>
      </c>
      <c r="C7">
        <v>0</v>
      </c>
      <c r="D7">
        <v>6</v>
      </c>
      <c r="E7">
        <v>2.2000000000000002</v>
      </c>
      <c r="F7">
        <v>13.2</v>
      </c>
      <c r="G7">
        <v>0.41706329113924051</v>
      </c>
      <c r="H7">
        <v>12.06</v>
      </c>
      <c r="I7">
        <v>25.677063291139241</v>
      </c>
    </row>
    <row r="8" spans="1:9" x14ac:dyDescent="0.45">
      <c r="A8" t="s">
        <v>24</v>
      </c>
      <c r="B8">
        <v>6</v>
      </c>
      <c r="C8">
        <v>0</v>
      </c>
      <c r="D8">
        <v>6</v>
      </c>
      <c r="E8">
        <v>2.2000000000000002</v>
      </c>
      <c r="F8">
        <v>13.2</v>
      </c>
      <c r="G8">
        <v>0.3681518987341772</v>
      </c>
      <c r="H8">
        <v>12.06</v>
      </c>
      <c r="I8">
        <v>25.628151898734181</v>
      </c>
    </row>
    <row r="9" spans="1:9" x14ac:dyDescent="0.45">
      <c r="A9" t="s">
        <v>25</v>
      </c>
      <c r="B9">
        <v>6</v>
      </c>
      <c r="C9">
        <v>0</v>
      </c>
      <c r="D9">
        <v>6</v>
      </c>
      <c r="E9">
        <v>2.2000000000000002</v>
      </c>
      <c r="F9">
        <v>13.2</v>
      </c>
      <c r="G9">
        <v>0.35898734177215191</v>
      </c>
      <c r="H9">
        <v>12.06</v>
      </c>
      <c r="I9">
        <v>25.618987341772151</v>
      </c>
    </row>
    <row r="10" spans="1:9" x14ac:dyDescent="0.45">
      <c r="A10" t="s">
        <v>26</v>
      </c>
      <c r="B10">
        <v>12</v>
      </c>
      <c r="C10">
        <v>12</v>
      </c>
      <c r="D10">
        <v>0</v>
      </c>
      <c r="E10">
        <v>2.2000000000000002</v>
      </c>
      <c r="F10">
        <v>0</v>
      </c>
      <c r="G10">
        <v>0</v>
      </c>
      <c r="H10">
        <v>24.12</v>
      </c>
      <c r="I10">
        <v>24.12</v>
      </c>
    </row>
    <row r="11" spans="1:9" x14ac:dyDescent="0.45">
      <c r="A11" t="s">
        <v>27</v>
      </c>
      <c r="B11">
        <v>5</v>
      </c>
      <c r="C11">
        <v>0</v>
      </c>
      <c r="D11">
        <v>5</v>
      </c>
      <c r="E11">
        <v>2.2000000000000002</v>
      </c>
      <c r="F11">
        <v>11</v>
      </c>
      <c r="G11">
        <v>0.41706329113924051</v>
      </c>
      <c r="H11">
        <v>10.050000000000001</v>
      </c>
      <c r="I11">
        <v>21.46706329113924</v>
      </c>
    </row>
    <row r="12" spans="1:9" x14ac:dyDescent="0.45">
      <c r="A12" t="s">
        <v>28</v>
      </c>
      <c r="B12">
        <v>5</v>
      </c>
      <c r="C12">
        <v>0</v>
      </c>
      <c r="D12">
        <v>5</v>
      </c>
      <c r="E12">
        <v>2.2000000000000002</v>
      </c>
      <c r="F12">
        <v>11</v>
      </c>
      <c r="G12">
        <v>0.35356962025316457</v>
      </c>
      <c r="H12">
        <v>10.050000000000001</v>
      </c>
      <c r="I12">
        <v>21.403569620253169</v>
      </c>
    </row>
    <row r="13" spans="1:9" x14ac:dyDescent="0.45">
      <c r="A13" t="s">
        <v>29</v>
      </c>
      <c r="B13">
        <v>5</v>
      </c>
      <c r="C13">
        <v>0</v>
      </c>
      <c r="D13">
        <v>5</v>
      </c>
      <c r="E13">
        <v>2.2000000000000002</v>
      </c>
      <c r="F13">
        <v>11</v>
      </c>
      <c r="G13">
        <v>0.3468101265822785</v>
      </c>
      <c r="H13">
        <v>10.050000000000001</v>
      </c>
      <c r="I13">
        <v>21.396810126582281</v>
      </c>
    </row>
    <row r="14" spans="1:9" x14ac:dyDescent="0.45">
      <c r="A14" t="s">
        <v>30</v>
      </c>
      <c r="B14">
        <v>5</v>
      </c>
      <c r="C14">
        <v>0</v>
      </c>
      <c r="D14">
        <v>5</v>
      </c>
      <c r="E14">
        <v>2.2000000000000002</v>
      </c>
      <c r="F14">
        <v>11</v>
      </c>
      <c r="G14">
        <v>0.3468101265822785</v>
      </c>
      <c r="H14">
        <v>10.050000000000001</v>
      </c>
      <c r="I14">
        <v>21.396810126582281</v>
      </c>
    </row>
    <row r="15" spans="1:9" x14ac:dyDescent="0.45">
      <c r="A15" t="s">
        <v>31</v>
      </c>
      <c r="B15">
        <v>4</v>
      </c>
      <c r="C15">
        <v>0</v>
      </c>
      <c r="D15">
        <v>4</v>
      </c>
      <c r="E15">
        <v>2.2000000000000002</v>
      </c>
      <c r="F15">
        <v>8.8000000000000007</v>
      </c>
      <c r="G15">
        <v>0.35898734177215191</v>
      </c>
      <c r="H15">
        <v>8.0399999999999991</v>
      </c>
      <c r="I15">
        <v>17.198987341772149</v>
      </c>
    </row>
    <row r="16" spans="1:9" x14ac:dyDescent="0.45">
      <c r="A16" t="s">
        <v>32</v>
      </c>
      <c r="B16">
        <v>4</v>
      </c>
      <c r="C16">
        <v>0</v>
      </c>
      <c r="D16">
        <v>4</v>
      </c>
      <c r="E16">
        <v>2.2000000000000002</v>
      </c>
      <c r="F16">
        <v>8.8000000000000007</v>
      </c>
      <c r="G16">
        <v>0.35898734177215191</v>
      </c>
      <c r="H16">
        <v>8.0399999999999991</v>
      </c>
      <c r="I16">
        <v>17.198987341772149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7"/>
  <sheetViews>
    <sheetView workbookViewId="0"/>
  </sheetViews>
  <sheetFormatPr baseColWidth="10" defaultColWidth="9.06640625" defaultRowHeight="14.25" x14ac:dyDescent="0.45"/>
  <sheetData>
    <row r="1" spans="1:9" x14ac:dyDescent="0.45">
      <c r="A1" s="1" t="s">
        <v>33</v>
      </c>
      <c r="B1" s="1" t="s">
        <v>34</v>
      </c>
      <c r="C1" s="1" t="s">
        <v>35</v>
      </c>
      <c r="D1" s="1" t="s">
        <v>36</v>
      </c>
      <c r="E1" s="1" t="s">
        <v>37</v>
      </c>
      <c r="F1" s="1" t="s">
        <v>38</v>
      </c>
      <c r="G1" s="1" t="s">
        <v>39</v>
      </c>
      <c r="H1" s="1" t="s">
        <v>40</v>
      </c>
      <c r="I1" s="1" t="s">
        <v>8</v>
      </c>
    </row>
    <row r="2" spans="1:9" x14ac:dyDescent="0.45">
      <c r="A2" t="s">
        <v>41</v>
      </c>
      <c r="B2">
        <v>1</v>
      </c>
      <c r="C2" t="s">
        <v>26</v>
      </c>
      <c r="D2">
        <v>4.5</v>
      </c>
      <c r="E2">
        <v>3</v>
      </c>
      <c r="F2" t="s">
        <v>42</v>
      </c>
      <c r="G2">
        <v>0</v>
      </c>
      <c r="H2" t="s">
        <v>26</v>
      </c>
    </row>
    <row r="3" spans="1:9" x14ac:dyDescent="0.45">
      <c r="A3" t="s">
        <v>41</v>
      </c>
      <c r="B3">
        <v>2</v>
      </c>
      <c r="C3" t="s">
        <v>26</v>
      </c>
      <c r="D3">
        <v>4.5</v>
      </c>
      <c r="E3">
        <v>3</v>
      </c>
      <c r="G3">
        <v>0</v>
      </c>
      <c r="H3" t="s">
        <v>26</v>
      </c>
    </row>
    <row r="4" spans="1:9" x14ac:dyDescent="0.45">
      <c r="A4" t="s">
        <v>41</v>
      </c>
      <c r="B4">
        <v>3</v>
      </c>
      <c r="C4" t="s">
        <v>26</v>
      </c>
      <c r="D4">
        <v>4.5</v>
      </c>
      <c r="E4">
        <v>3</v>
      </c>
      <c r="G4">
        <v>0</v>
      </c>
      <c r="H4" t="s">
        <v>26</v>
      </c>
    </row>
    <row r="5" spans="1:9" x14ac:dyDescent="0.45">
      <c r="A5" t="s">
        <v>41</v>
      </c>
      <c r="B5">
        <v>4</v>
      </c>
      <c r="C5" t="s">
        <v>26</v>
      </c>
      <c r="D5">
        <v>4.5</v>
      </c>
      <c r="E5">
        <v>3</v>
      </c>
      <c r="G5">
        <v>0</v>
      </c>
      <c r="H5" t="s">
        <v>26</v>
      </c>
    </row>
    <row r="6" spans="1:9" x14ac:dyDescent="0.45">
      <c r="A6" t="s">
        <v>43</v>
      </c>
      <c r="B6">
        <v>1</v>
      </c>
      <c r="C6" t="s">
        <v>20</v>
      </c>
      <c r="D6">
        <v>4.5</v>
      </c>
      <c r="E6">
        <v>3</v>
      </c>
      <c r="F6" t="s">
        <v>42</v>
      </c>
      <c r="G6">
        <v>0</v>
      </c>
      <c r="H6" t="s">
        <v>20</v>
      </c>
    </row>
    <row r="7" spans="1:9" x14ac:dyDescent="0.45">
      <c r="A7" t="s">
        <v>43</v>
      </c>
      <c r="B7">
        <v>2</v>
      </c>
      <c r="C7" t="s">
        <v>20</v>
      </c>
      <c r="D7">
        <v>4.5</v>
      </c>
      <c r="E7">
        <v>3</v>
      </c>
      <c r="G7">
        <v>0</v>
      </c>
      <c r="H7" t="s">
        <v>20</v>
      </c>
    </row>
    <row r="8" spans="1:9" x14ac:dyDescent="0.45">
      <c r="A8" t="s">
        <v>43</v>
      </c>
      <c r="B8">
        <v>3</v>
      </c>
      <c r="C8" t="s">
        <v>20</v>
      </c>
      <c r="D8">
        <v>4.5</v>
      </c>
      <c r="E8">
        <v>3</v>
      </c>
      <c r="G8">
        <v>0</v>
      </c>
      <c r="H8" t="s">
        <v>20</v>
      </c>
    </row>
    <row r="9" spans="1:9" x14ac:dyDescent="0.45">
      <c r="A9" t="s">
        <v>43</v>
      </c>
      <c r="B9">
        <v>4</v>
      </c>
      <c r="C9" t="s">
        <v>20</v>
      </c>
      <c r="D9">
        <v>4.5</v>
      </c>
      <c r="E9">
        <v>3</v>
      </c>
      <c r="G9">
        <v>0</v>
      </c>
      <c r="H9" t="s">
        <v>20</v>
      </c>
    </row>
    <row r="10" spans="1:9" x14ac:dyDescent="0.45">
      <c r="A10" t="s">
        <v>43</v>
      </c>
      <c r="B10">
        <v>5</v>
      </c>
      <c r="C10" t="s">
        <v>20</v>
      </c>
      <c r="D10">
        <v>4.5</v>
      </c>
      <c r="E10">
        <v>3</v>
      </c>
      <c r="G10">
        <v>0</v>
      </c>
      <c r="H10" t="s">
        <v>20</v>
      </c>
    </row>
    <row r="11" spans="1:9" x14ac:dyDescent="0.45">
      <c r="A11" t="s">
        <v>43</v>
      </c>
      <c r="B11">
        <v>6</v>
      </c>
      <c r="C11" t="s">
        <v>20</v>
      </c>
      <c r="D11">
        <v>4.5</v>
      </c>
      <c r="E11">
        <v>3</v>
      </c>
      <c r="G11">
        <v>0</v>
      </c>
      <c r="H11" t="s">
        <v>20</v>
      </c>
    </row>
    <row r="12" spans="1:9" x14ac:dyDescent="0.45">
      <c r="A12" t="s">
        <v>43</v>
      </c>
      <c r="B12">
        <v>7</v>
      </c>
      <c r="C12" t="s">
        <v>20</v>
      </c>
      <c r="D12">
        <v>1.5</v>
      </c>
      <c r="E12">
        <v>1</v>
      </c>
      <c r="G12">
        <v>0</v>
      </c>
      <c r="H12" t="s">
        <v>20</v>
      </c>
    </row>
    <row r="13" spans="1:9" x14ac:dyDescent="0.45">
      <c r="A13" t="s">
        <v>44</v>
      </c>
      <c r="B13">
        <v>1</v>
      </c>
      <c r="C13" t="s">
        <v>22</v>
      </c>
      <c r="D13">
        <v>4.5</v>
      </c>
      <c r="E13">
        <v>3</v>
      </c>
      <c r="F13" t="s">
        <v>42</v>
      </c>
      <c r="G13">
        <v>0</v>
      </c>
      <c r="H13" t="s">
        <v>22</v>
      </c>
    </row>
    <row r="14" spans="1:9" x14ac:dyDescent="0.45">
      <c r="A14" t="s">
        <v>44</v>
      </c>
      <c r="B14">
        <v>2</v>
      </c>
      <c r="C14" t="s">
        <v>22</v>
      </c>
      <c r="D14">
        <v>4.5</v>
      </c>
      <c r="E14">
        <v>3</v>
      </c>
      <c r="G14">
        <v>0</v>
      </c>
      <c r="H14" t="s">
        <v>22</v>
      </c>
    </row>
    <row r="15" spans="1:9" x14ac:dyDescent="0.45">
      <c r="A15" t="s">
        <v>44</v>
      </c>
      <c r="B15">
        <v>3</v>
      </c>
      <c r="C15" t="s">
        <v>22</v>
      </c>
      <c r="D15">
        <v>4.5</v>
      </c>
      <c r="E15">
        <v>3</v>
      </c>
      <c r="G15">
        <v>0</v>
      </c>
      <c r="H15" t="s">
        <v>22</v>
      </c>
    </row>
    <row r="16" spans="1:9" x14ac:dyDescent="0.45">
      <c r="A16" t="s">
        <v>44</v>
      </c>
      <c r="B16">
        <v>4</v>
      </c>
      <c r="C16" t="s">
        <v>22</v>
      </c>
      <c r="D16">
        <v>4.5</v>
      </c>
      <c r="E16">
        <v>3</v>
      </c>
      <c r="G16">
        <v>0</v>
      </c>
      <c r="H16" t="s">
        <v>22</v>
      </c>
    </row>
    <row r="17" spans="1:8" x14ac:dyDescent="0.45">
      <c r="A17" t="s">
        <v>44</v>
      </c>
      <c r="B17">
        <v>5</v>
      </c>
      <c r="C17" t="s">
        <v>22</v>
      </c>
      <c r="D17">
        <v>1.5</v>
      </c>
      <c r="E17">
        <v>1</v>
      </c>
      <c r="G17">
        <v>0</v>
      </c>
      <c r="H17" t="s">
        <v>22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0"/>
  <sheetViews>
    <sheetView workbookViewId="0">
      <selection activeCell="H24" sqref="H24"/>
    </sheetView>
  </sheetViews>
  <sheetFormatPr baseColWidth="10" defaultColWidth="9.06640625" defaultRowHeight="14.25" x14ac:dyDescent="0.45"/>
  <sheetData>
    <row r="1" spans="1:11" x14ac:dyDescent="0.45">
      <c r="A1" s="1" t="s">
        <v>45</v>
      </c>
      <c r="B1" s="1" t="s">
        <v>46</v>
      </c>
      <c r="C1" s="1" t="s">
        <v>47</v>
      </c>
      <c r="D1" s="1" t="s">
        <v>48</v>
      </c>
      <c r="E1" s="1" t="s">
        <v>49</v>
      </c>
      <c r="F1" s="1" t="s">
        <v>50</v>
      </c>
      <c r="G1" s="1" t="s">
        <v>51</v>
      </c>
      <c r="H1" s="1" t="s">
        <v>15</v>
      </c>
      <c r="I1" s="1" t="s">
        <v>14</v>
      </c>
      <c r="J1" s="1" t="s">
        <v>16</v>
      </c>
      <c r="K1" s="1" t="s">
        <v>2</v>
      </c>
    </row>
    <row r="2" spans="1:11" x14ac:dyDescent="0.45">
      <c r="A2" t="s">
        <v>18</v>
      </c>
      <c r="B2" t="s">
        <v>52</v>
      </c>
      <c r="C2">
        <v>0</v>
      </c>
      <c r="D2">
        <v>0</v>
      </c>
      <c r="E2">
        <v>0</v>
      </c>
      <c r="F2">
        <v>0</v>
      </c>
      <c r="G2">
        <v>0</v>
      </c>
      <c r="H2">
        <v>0.34430379746835438</v>
      </c>
      <c r="I2">
        <v>30.8</v>
      </c>
      <c r="J2">
        <v>0</v>
      </c>
      <c r="K2">
        <v>31.144303797468361</v>
      </c>
    </row>
    <row r="3" spans="1:11" x14ac:dyDescent="0.45">
      <c r="A3" t="s">
        <v>19</v>
      </c>
      <c r="B3" t="s">
        <v>52</v>
      </c>
      <c r="C3">
        <v>0</v>
      </c>
      <c r="D3">
        <v>0</v>
      </c>
      <c r="E3">
        <v>0</v>
      </c>
      <c r="F3">
        <v>0</v>
      </c>
      <c r="G3">
        <v>0</v>
      </c>
      <c r="H3">
        <v>0.35356962025316457</v>
      </c>
      <c r="I3">
        <v>19.8</v>
      </c>
      <c r="J3">
        <v>0</v>
      </c>
      <c r="K3">
        <v>20.153569620253169</v>
      </c>
    </row>
    <row r="4" spans="1:11" x14ac:dyDescent="0.45">
      <c r="A4" t="s">
        <v>21</v>
      </c>
      <c r="B4" t="s">
        <v>52</v>
      </c>
      <c r="C4">
        <v>0</v>
      </c>
      <c r="D4">
        <v>0</v>
      </c>
      <c r="E4">
        <v>0</v>
      </c>
      <c r="F4">
        <v>0</v>
      </c>
      <c r="G4">
        <v>0</v>
      </c>
      <c r="H4">
        <v>0.3681518987341772</v>
      </c>
      <c r="I4">
        <v>17.600000000000001</v>
      </c>
      <c r="J4">
        <v>0</v>
      </c>
      <c r="K4">
        <v>17.968151898734181</v>
      </c>
    </row>
    <row r="5" spans="1:11" x14ac:dyDescent="0.45">
      <c r="A5" t="s">
        <v>23</v>
      </c>
      <c r="B5" t="s">
        <v>52</v>
      </c>
      <c r="C5">
        <v>0</v>
      </c>
      <c r="D5">
        <v>0</v>
      </c>
      <c r="E5">
        <v>0</v>
      </c>
      <c r="F5">
        <v>0</v>
      </c>
      <c r="G5">
        <v>0</v>
      </c>
      <c r="H5">
        <v>0.41706329113924051</v>
      </c>
      <c r="I5">
        <v>13.2</v>
      </c>
      <c r="J5">
        <v>0</v>
      </c>
      <c r="K5">
        <v>13.617063291139241</v>
      </c>
    </row>
    <row r="6" spans="1:11" x14ac:dyDescent="0.45">
      <c r="A6" t="s">
        <v>24</v>
      </c>
      <c r="B6" t="s">
        <v>52</v>
      </c>
      <c r="C6">
        <v>0</v>
      </c>
      <c r="D6">
        <v>0</v>
      </c>
      <c r="E6">
        <v>0</v>
      </c>
      <c r="F6">
        <v>0</v>
      </c>
      <c r="G6">
        <v>0</v>
      </c>
      <c r="H6">
        <v>0.3681518987341772</v>
      </c>
      <c r="I6">
        <v>13.2</v>
      </c>
      <c r="J6">
        <v>0</v>
      </c>
      <c r="K6">
        <v>13.568151898734181</v>
      </c>
    </row>
    <row r="7" spans="1:11" x14ac:dyDescent="0.45">
      <c r="A7" t="s">
        <v>25</v>
      </c>
      <c r="B7" t="s">
        <v>52</v>
      </c>
      <c r="C7">
        <v>0</v>
      </c>
      <c r="D7">
        <v>0</v>
      </c>
      <c r="E7">
        <v>0</v>
      </c>
      <c r="F7">
        <v>0</v>
      </c>
      <c r="G7">
        <v>0</v>
      </c>
      <c r="H7">
        <v>0.35898734177215191</v>
      </c>
      <c r="I7">
        <v>13.2</v>
      </c>
      <c r="J7">
        <v>0</v>
      </c>
      <c r="K7">
        <v>13.55898734177215</v>
      </c>
    </row>
    <row r="8" spans="1:11" x14ac:dyDescent="0.45">
      <c r="A8" t="s">
        <v>27</v>
      </c>
      <c r="B8" t="s">
        <v>52</v>
      </c>
      <c r="C8">
        <v>0</v>
      </c>
      <c r="D8">
        <v>0</v>
      </c>
      <c r="E8">
        <v>0</v>
      </c>
      <c r="F8">
        <v>0</v>
      </c>
      <c r="G8">
        <v>0</v>
      </c>
      <c r="H8">
        <v>0.41706329113924051</v>
      </c>
      <c r="I8">
        <v>11</v>
      </c>
      <c r="J8">
        <v>0</v>
      </c>
      <c r="K8">
        <v>11.41706329113924</v>
      </c>
    </row>
    <row r="9" spans="1:11" x14ac:dyDescent="0.45">
      <c r="A9" t="s">
        <v>28</v>
      </c>
      <c r="B9" t="s">
        <v>52</v>
      </c>
      <c r="C9">
        <v>0</v>
      </c>
      <c r="D9">
        <v>0</v>
      </c>
      <c r="E9">
        <v>0</v>
      </c>
      <c r="F9">
        <v>0</v>
      </c>
      <c r="G9">
        <v>0</v>
      </c>
      <c r="H9">
        <v>0.35356962025316457</v>
      </c>
      <c r="I9">
        <v>11</v>
      </c>
      <c r="J9">
        <v>0</v>
      </c>
      <c r="K9">
        <v>11.353569620253159</v>
      </c>
    </row>
    <row r="10" spans="1:11" x14ac:dyDescent="0.45">
      <c r="A10" t="s">
        <v>30</v>
      </c>
      <c r="B10" t="s">
        <v>52</v>
      </c>
      <c r="C10">
        <v>0</v>
      </c>
      <c r="D10">
        <v>0</v>
      </c>
      <c r="E10">
        <v>0</v>
      </c>
      <c r="F10">
        <v>0</v>
      </c>
      <c r="G10">
        <v>0</v>
      </c>
      <c r="H10">
        <v>0.3468101265822785</v>
      </c>
      <c r="I10">
        <v>11</v>
      </c>
      <c r="J10">
        <v>0</v>
      </c>
      <c r="K10">
        <v>11.34681012658228</v>
      </c>
    </row>
    <row r="11" spans="1:11" x14ac:dyDescent="0.45">
      <c r="A11" t="s">
        <v>29</v>
      </c>
      <c r="B11" t="s">
        <v>52</v>
      </c>
      <c r="C11">
        <v>0</v>
      </c>
      <c r="D11">
        <v>0</v>
      </c>
      <c r="E11">
        <v>0</v>
      </c>
      <c r="F11">
        <v>0</v>
      </c>
      <c r="G11">
        <v>0</v>
      </c>
      <c r="H11">
        <v>0.3468101265822785</v>
      </c>
      <c r="I11">
        <v>11</v>
      </c>
      <c r="J11">
        <v>0</v>
      </c>
      <c r="K11">
        <v>11.34681012658228</v>
      </c>
    </row>
    <row r="12" spans="1:11" x14ac:dyDescent="0.45">
      <c r="A12" t="s">
        <v>31</v>
      </c>
      <c r="B12" t="s">
        <v>52</v>
      </c>
      <c r="C12">
        <v>0</v>
      </c>
      <c r="D12">
        <v>0</v>
      </c>
      <c r="E12">
        <v>0</v>
      </c>
      <c r="F12">
        <v>0</v>
      </c>
      <c r="G12">
        <v>0</v>
      </c>
      <c r="H12">
        <v>0.35898734177215191</v>
      </c>
      <c r="I12">
        <v>8.8000000000000007</v>
      </c>
      <c r="J12">
        <v>0</v>
      </c>
      <c r="K12">
        <v>9.1589873417721535</v>
      </c>
    </row>
    <row r="13" spans="1:11" x14ac:dyDescent="0.45">
      <c r="A13" t="s">
        <v>32</v>
      </c>
      <c r="B13" t="s">
        <v>52</v>
      </c>
      <c r="C13">
        <v>0</v>
      </c>
      <c r="D13">
        <v>0</v>
      </c>
      <c r="E13">
        <v>0</v>
      </c>
      <c r="F13">
        <v>0</v>
      </c>
      <c r="G13">
        <v>0</v>
      </c>
      <c r="H13">
        <v>0.35898734177215191</v>
      </c>
      <c r="I13">
        <v>8.8000000000000007</v>
      </c>
      <c r="J13">
        <v>0</v>
      </c>
      <c r="K13">
        <v>9.1589873417721535</v>
      </c>
    </row>
    <row r="14" spans="1:11" x14ac:dyDescent="0.45">
      <c r="A14" t="s">
        <v>22</v>
      </c>
      <c r="B14" t="s">
        <v>52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</row>
    <row r="15" spans="1:11" x14ac:dyDescent="0.45">
      <c r="A15" t="s">
        <v>26</v>
      </c>
      <c r="B15" t="s">
        <v>52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 x14ac:dyDescent="0.45">
      <c r="A16" t="s">
        <v>20</v>
      </c>
      <c r="B16" t="s">
        <v>52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 x14ac:dyDescent="0.45">
      <c r="A17" t="s">
        <v>43</v>
      </c>
      <c r="B17" t="s">
        <v>53</v>
      </c>
      <c r="C17">
        <v>0</v>
      </c>
      <c r="D17">
        <v>0</v>
      </c>
      <c r="E17">
        <v>3.5</v>
      </c>
      <c r="F17">
        <v>8.4929999999999986</v>
      </c>
      <c r="G17">
        <v>4.0016666666666669</v>
      </c>
      <c r="H17">
        <v>0</v>
      </c>
      <c r="I17">
        <v>0</v>
      </c>
      <c r="J17">
        <v>0</v>
      </c>
      <c r="K17">
        <v>15.994666666666671</v>
      </c>
    </row>
    <row r="18" spans="1:11" x14ac:dyDescent="0.45">
      <c r="A18" t="s">
        <v>44</v>
      </c>
      <c r="B18" t="s">
        <v>53</v>
      </c>
      <c r="C18">
        <v>0</v>
      </c>
      <c r="D18">
        <v>0</v>
      </c>
      <c r="E18">
        <v>2.5</v>
      </c>
      <c r="F18">
        <v>5.8109999999999999</v>
      </c>
      <c r="G18">
        <v>2.8583333333333329</v>
      </c>
      <c r="H18">
        <v>1.2976708860759489</v>
      </c>
      <c r="I18">
        <v>0</v>
      </c>
      <c r="J18">
        <v>0</v>
      </c>
      <c r="K18">
        <v>12.467004219409279</v>
      </c>
    </row>
    <row r="19" spans="1:11" x14ac:dyDescent="0.45">
      <c r="A19" t="s">
        <v>41</v>
      </c>
      <c r="B19" t="s">
        <v>53</v>
      </c>
      <c r="C19">
        <v>0</v>
      </c>
      <c r="D19">
        <v>0</v>
      </c>
      <c r="E19">
        <v>2</v>
      </c>
      <c r="F19">
        <v>5.3639999999999999</v>
      </c>
      <c r="G19">
        <v>2.2866666666666671</v>
      </c>
      <c r="H19">
        <v>0.35898734177215191</v>
      </c>
      <c r="I19">
        <v>0</v>
      </c>
      <c r="J19">
        <v>0</v>
      </c>
      <c r="K19">
        <v>10.009654008438821</v>
      </c>
    </row>
    <row r="20" spans="1:11" x14ac:dyDescent="0.45">
      <c r="A20" t="s">
        <v>54</v>
      </c>
      <c r="B20" t="s">
        <v>55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243.21</v>
      </c>
      <c r="K20">
        <v>243.21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Resumen_Total</vt:lpstr>
      <vt:lpstr>Costos_por_Ciudad</vt:lpstr>
      <vt:lpstr>Plan_Diario</vt:lpstr>
      <vt:lpstr>Costos_Detalle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christian zambrano vallejos</cp:lastModifiedBy>
  <dcterms:created xsi:type="dcterms:W3CDTF">2025-12-23T16:37:31Z</dcterms:created>
  <dcterms:modified xsi:type="dcterms:W3CDTF">2025-12-24T00:37:03Z</dcterms:modified>
</cp:coreProperties>
</file>