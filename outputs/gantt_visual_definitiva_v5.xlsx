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2" documentId="11_C1CC3CB8EAC88BFE8CC1DB137A79B0560B33D81B" xr6:coauthVersionLast="47" xr6:coauthVersionMax="47" xr10:uidLastSave="{ED58EA30-2EFA-4319-BD8D-63AE81E9D17F}"/>
  <bookViews>
    <workbookView minimized="1" xWindow="-17770" yWindow="3570" windowWidth="16200" windowHeight="9310" xr2:uid="{00000000-000D-0000-FFFF-FFFF00000000}"/>
  </bookViews>
  <sheets>
    <sheet name="Gantt L-V" sheetId="1" r:id="rId1"/>
  </sheets>
  <definedNames>
    <definedName name="_xlnm._FilterDatabase" localSheetId="0" hidden="1">'Gantt L-V'!$E$7:$AM$42</definedName>
    <definedName name="_xlnm.Print_Area" localSheetId="0">'Gantt L-V'!$E$4:$AM$42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2" i="1" l="1"/>
  <c r="AM41" i="1"/>
  <c r="AN41" i="1" s="1"/>
  <c r="AN40" i="1"/>
  <c r="AM40" i="1"/>
  <c r="AM39" i="1"/>
  <c r="AN39" i="1" s="1"/>
  <c r="AM38" i="1"/>
  <c r="AN38" i="1" s="1"/>
  <c r="AM37" i="1"/>
  <c r="AN37" i="1" s="1"/>
  <c r="AN36" i="1"/>
  <c r="AM36" i="1"/>
  <c r="AM35" i="1"/>
  <c r="AN35" i="1" s="1"/>
  <c r="AM34" i="1"/>
  <c r="AN34" i="1" s="1"/>
  <c r="AM33" i="1"/>
  <c r="AN33" i="1" s="1"/>
  <c r="AN32" i="1"/>
  <c r="AM32" i="1"/>
  <c r="AM31" i="1"/>
  <c r="AN31" i="1" s="1"/>
  <c r="AM30" i="1"/>
  <c r="AN30" i="1" s="1"/>
  <c r="AM29" i="1"/>
  <c r="AN29" i="1" s="1"/>
  <c r="AN28" i="1"/>
  <c r="AM28" i="1"/>
  <c r="AM27" i="1"/>
  <c r="AN27" i="1" s="1"/>
  <c r="AM26" i="1"/>
  <c r="AN26" i="1" s="1"/>
  <c r="AM25" i="1"/>
  <c r="AN25" i="1" s="1"/>
  <c r="AN24" i="1"/>
  <c r="AM24" i="1"/>
  <c r="AM23" i="1"/>
  <c r="AN23" i="1" s="1"/>
  <c r="AM22" i="1"/>
  <c r="AN22" i="1" s="1"/>
  <c r="AM21" i="1"/>
  <c r="AN21" i="1" s="1"/>
  <c r="AN20" i="1"/>
  <c r="AM20" i="1"/>
  <c r="AM19" i="1"/>
  <c r="AN19" i="1" s="1"/>
  <c r="AM18" i="1"/>
  <c r="AN18" i="1" s="1"/>
  <c r="AM17" i="1"/>
  <c r="AN17" i="1" s="1"/>
  <c r="AN16" i="1"/>
  <c r="AM16" i="1"/>
  <c r="AM15" i="1"/>
  <c r="AN15" i="1" s="1"/>
  <c r="AM14" i="1"/>
  <c r="AN14" i="1" s="1"/>
  <c r="AM13" i="1"/>
  <c r="AN13" i="1" s="1"/>
  <c r="AN12" i="1"/>
  <c r="AM12" i="1"/>
  <c r="AM11" i="1"/>
  <c r="AN11" i="1" s="1"/>
  <c r="AM10" i="1"/>
  <c r="AN10" i="1" s="1"/>
  <c r="AM9" i="1"/>
  <c r="AN9" i="1" s="1"/>
  <c r="AN8" i="1"/>
  <c r="AM8" i="1"/>
  <c r="AM42" i="1" s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</calcChain>
</file>

<file path=xl/sharedStrings.xml><?xml version="1.0" encoding="utf-8"?>
<sst xmlns="http://schemas.openxmlformats.org/spreadsheetml/2006/main" count="54" uniqueCount="30">
  <si>
    <t>Dia semana</t>
  </si>
  <si>
    <t>Antofagasta</t>
  </si>
  <si>
    <t>Orlando</t>
  </si>
  <si>
    <t>Arica</t>
  </si>
  <si>
    <t>Calama</t>
  </si>
  <si>
    <t>TOTAL</t>
  </si>
  <si>
    <t>Chillan</t>
  </si>
  <si>
    <t>Jimmy</t>
  </si>
  <si>
    <t>Concepcion</t>
  </si>
  <si>
    <t>Efrain</t>
  </si>
  <si>
    <t>Copiapo</t>
  </si>
  <si>
    <t>Coyhaique</t>
  </si>
  <si>
    <t>Iquique</t>
  </si>
  <si>
    <t>La Serena</t>
  </si>
  <si>
    <t>Fabian D.</t>
  </si>
  <si>
    <t>Los Angeles</t>
  </si>
  <si>
    <t>Osorno</t>
  </si>
  <si>
    <t>Puerto Montt</t>
  </si>
  <si>
    <t>Punta Arenas</t>
  </si>
  <si>
    <t>Rancagua</t>
  </si>
  <si>
    <t>Carlos</t>
  </si>
  <si>
    <t>San Antonio</t>
  </si>
  <si>
    <t>San Felipe</t>
  </si>
  <si>
    <t>San Fernando</t>
  </si>
  <si>
    <t>Santiago</t>
  </si>
  <si>
    <t>Wilmer</t>
  </si>
  <si>
    <t>Talca</t>
  </si>
  <si>
    <t>Temuco</t>
  </si>
  <si>
    <t>Viña del Mar</t>
  </si>
  <si>
    <t>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</si>
</sst>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  <bgColor rgb="FFFFEB9C"/>
      </patternFill>
    </fill>
    <fill>
      <patternFill patternType="solid">
        <fgColor rgb="FFA9A9A9"/>
        <bgColor rgb="FFA9A9A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textRotation="90"/>
    </xf>
    <xf numFmtId="0" fontId="2" fillId="0" borderId="1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/>
    </xf>
    <xf numFmtId="0" fontId="2" fillId="0" borderId="3" xfId="0" applyFont="1" applyBorder="1" applyAlignment="1">
      <alignment horizontal="center" textRotation="90"/>
    </xf>
    <xf numFmtId="0" fontId="0" fillId="3" borderId="0" xfId="0" applyFill="1" applyAlignment="1">
      <alignment horizontal="center" textRotation="90"/>
    </xf>
    <xf numFmtId="16" fontId="2" fillId="0" borderId="5" xfId="0" applyNumberFormat="1" applyFont="1" applyBorder="1" applyAlignment="1">
      <alignment horizontal="center" textRotation="90"/>
    </xf>
    <xf numFmtId="0" fontId="0" fillId="3" borderId="0" xfId="0" applyFill="1" applyAlignment="1">
      <alignment horizontal="center"/>
    </xf>
    <xf numFmtId="16" fontId="0" fillId="0" borderId="0" xfId="0" applyNumberFormat="1"/>
    <xf numFmtId="0" fontId="1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textRotation="90"/>
    </xf>
    <xf numFmtId="0" fontId="2" fillId="3" borderId="4" xfId="0" applyFont="1" applyFill="1" applyBorder="1" applyAlignment="1">
      <alignment horizontal="center" textRotation="90"/>
    </xf>
    <xf numFmtId="0" fontId="2" fillId="5" borderId="3" xfId="0" applyFont="1" applyFill="1" applyBorder="1" applyAlignment="1">
      <alignment horizontal="center" textRotation="90"/>
    </xf>
    <xf numFmtId="0" fontId="0" fillId="3" borderId="5" xfId="0" applyFill="1" applyBorder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/>
    </xf>
    <xf numFmtId="16" fontId="2" fillId="0" borderId="7" xfId="0" applyNumberFormat="1" applyFont="1" applyBorder="1" applyAlignment="1">
      <alignment horizontal="center" textRotation="90"/>
    </xf>
    <xf numFmtId="16" fontId="2" fillId="6" borderId="8" xfId="0" applyNumberFormat="1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6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0" fillId="0" borderId="7" xfId="0" applyBorder="1"/>
    <xf numFmtId="0" fontId="0" fillId="6" borderId="8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1" fontId="0" fillId="0" borderId="8" xfId="0" applyNumberFormat="1" applyBorder="1"/>
    <xf numFmtId="0" fontId="3" fillId="0" borderId="7" xfId="0" applyFont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D3:AN149"/>
  <sheetViews>
    <sheetView showGridLines="0" tabSelected="1" zoomScale="70" zoomScaleNormal="70" workbookViewId="0">
      <selection activeCell="L13" sqref="L13"/>
    </sheetView>
  </sheetViews>
  <sheetFormatPr baseColWidth="10" defaultRowHeight="14.25" x14ac:dyDescent="0.45"/>
  <cols>
    <col min="1" max="1" width="6.59765625" customWidth="1"/>
    <col min="2" max="2" width="2.59765625" customWidth="1"/>
    <col min="3" max="3" width="7.59765625" customWidth="1"/>
    <col min="4" max="4" width="11.59765625" bestFit="1" customWidth="1"/>
    <col min="5" max="5" width="8.06640625" bestFit="1" customWidth="1"/>
    <col min="6" max="6" width="13.46484375" bestFit="1" customWidth="1"/>
    <col min="7" max="7" width="1.73046875" bestFit="1" customWidth="1"/>
    <col min="8" max="13" width="5.1328125" bestFit="1" customWidth="1"/>
    <col min="14" max="17" width="5.9296875" bestFit="1" customWidth="1"/>
    <col min="18" max="22" width="5.1328125" bestFit="1" customWidth="1"/>
    <col min="23" max="23" width="8.06640625" bestFit="1" customWidth="1"/>
    <col min="24" max="27" width="5.1328125" bestFit="1" customWidth="1"/>
    <col min="28" max="28" width="8.06640625" bestFit="1" customWidth="1"/>
    <col min="29" max="37" width="5.1328125" bestFit="1" customWidth="1"/>
    <col min="38" max="38" width="8.9296875" bestFit="1" customWidth="1"/>
    <col min="39" max="39" width="12.1328125" bestFit="1" customWidth="1"/>
    <col min="40" max="40" width="7.46484375" bestFit="1" customWidth="1"/>
  </cols>
  <sheetData>
    <row r="3" spans="4:40" ht="14.65" customHeight="1" thickBot="1" x14ac:dyDescent="0.5"/>
    <row r="4" spans="4:40" s="1" customFormat="1" ht="53.25" customHeight="1" x14ac:dyDescent="0.45">
      <c r="E4" s="2" t="s">
        <v>0</v>
      </c>
      <c r="F4" s="3"/>
      <c r="G4" s="3"/>
      <c r="H4" s="4" t="str">
        <f t="shared" ref="H4:AL4" si="0">TEXT(H5,"dddd")</f>
        <v>sábado</v>
      </c>
      <c r="I4" s="4" t="str">
        <f t="shared" si="0"/>
        <v>sábado</v>
      </c>
      <c r="J4" s="14" t="str">
        <f t="shared" si="0"/>
        <v>sábado</v>
      </c>
      <c r="K4" s="14" t="str">
        <f t="shared" si="0"/>
        <v>sábado</v>
      </c>
      <c r="L4" s="14" t="str">
        <f t="shared" si="0"/>
        <v>sábado</v>
      </c>
      <c r="M4" s="16" t="str">
        <f t="shared" si="0"/>
        <v>sábado</v>
      </c>
      <c r="N4" s="16" t="str">
        <f t="shared" si="0"/>
        <v>domingo</v>
      </c>
      <c r="O4" s="14" t="str">
        <f t="shared" si="0"/>
        <v>martes</v>
      </c>
      <c r="P4" s="14" t="str">
        <f t="shared" si="0"/>
        <v>martes</v>
      </c>
      <c r="Q4" s="14" t="str">
        <f t="shared" si="0"/>
        <v>martes</v>
      </c>
      <c r="R4" s="14" t="str">
        <f t="shared" si="0"/>
        <v>sábado</v>
      </c>
      <c r="S4" s="14" t="str">
        <f t="shared" si="0"/>
        <v>sábado</v>
      </c>
      <c r="T4" s="16" t="str">
        <f t="shared" si="0"/>
        <v>sábado</v>
      </c>
      <c r="U4" s="16" t="str">
        <f t="shared" si="0"/>
        <v>sábado</v>
      </c>
      <c r="V4" s="14" t="str">
        <f t="shared" si="0"/>
        <v>sábado</v>
      </c>
      <c r="W4" s="14" t="str">
        <f t="shared" si="0"/>
        <v>sábado</v>
      </c>
      <c r="X4" s="14" t="str">
        <f t="shared" si="0"/>
        <v>sábado</v>
      </c>
      <c r="Y4" s="14" t="str">
        <f t="shared" si="0"/>
        <v>sábado</v>
      </c>
      <c r="Z4" s="14" t="str">
        <f t="shared" si="0"/>
        <v>sábado</v>
      </c>
      <c r="AA4" s="16" t="str">
        <f t="shared" si="0"/>
        <v>sábado</v>
      </c>
      <c r="AB4" s="16" t="str">
        <f t="shared" si="0"/>
        <v>sábado</v>
      </c>
      <c r="AC4" s="14" t="str">
        <f t="shared" si="0"/>
        <v>sábado</v>
      </c>
      <c r="AD4" s="14" t="str">
        <f t="shared" si="0"/>
        <v>sábado</v>
      </c>
      <c r="AE4" s="14" t="str">
        <f t="shared" si="0"/>
        <v>sábado</v>
      </c>
      <c r="AF4" s="14" t="str">
        <f t="shared" si="0"/>
        <v>sábado</v>
      </c>
      <c r="AG4" s="14" t="str">
        <f t="shared" si="0"/>
        <v>sábado</v>
      </c>
      <c r="AH4" s="16" t="str">
        <f t="shared" si="0"/>
        <v>sábado</v>
      </c>
      <c r="AI4" s="16" t="str">
        <f t="shared" si="0"/>
        <v>sábado</v>
      </c>
      <c r="AJ4" s="14" t="str">
        <f t="shared" si="0"/>
        <v>sábado</v>
      </c>
      <c r="AK4" s="14" t="str">
        <f t="shared" si="0"/>
        <v>sábado</v>
      </c>
      <c r="AL4" s="15" t="str">
        <f t="shared" si="0"/>
        <v>miércoles</v>
      </c>
      <c r="AM4" s="5"/>
    </row>
    <row r="5" spans="4:40" s="1" customFormat="1" ht="36.75" customHeight="1" x14ac:dyDescent="0.45">
      <c r="D5" s="18" t="s">
        <v>1</v>
      </c>
      <c r="E5" s="19">
        <v>10</v>
      </c>
      <c r="F5" s="20" t="s">
        <v>2</v>
      </c>
      <c r="G5" s="21"/>
      <c r="H5" s="22"/>
      <c r="I5" s="22"/>
      <c r="J5" s="22"/>
      <c r="K5" s="22"/>
      <c r="L5" s="22"/>
      <c r="M5" s="22"/>
      <c r="N5" s="23">
        <v>1</v>
      </c>
      <c r="O5" s="23">
        <v>3</v>
      </c>
      <c r="P5" s="23">
        <v>3</v>
      </c>
      <c r="Q5" s="23">
        <v>3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6">
        <v>46057</v>
      </c>
      <c r="AM5" s="5"/>
    </row>
    <row r="6" spans="4:40" x14ac:dyDescent="0.45">
      <c r="D6" s="18" t="s">
        <v>3</v>
      </c>
      <c r="E6" s="19">
        <v>4</v>
      </c>
      <c r="F6" s="24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1"/>
      <c r="AM6" s="7"/>
    </row>
    <row r="7" spans="4:40" x14ac:dyDescent="0.45">
      <c r="D7" s="18" t="s">
        <v>4</v>
      </c>
      <c r="E7" s="26">
        <v>4</v>
      </c>
      <c r="F7" s="27" t="s">
        <v>2</v>
      </c>
      <c r="G7" s="2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9">
        <v>1</v>
      </c>
      <c r="X7" s="25"/>
      <c r="Y7" s="25"/>
      <c r="Z7" s="25"/>
      <c r="AA7" s="25"/>
      <c r="AB7" s="29">
        <v>3</v>
      </c>
      <c r="AC7" s="25"/>
      <c r="AD7" s="25"/>
      <c r="AE7" s="25"/>
      <c r="AF7" s="25"/>
      <c r="AG7" s="25"/>
      <c r="AH7" s="25"/>
      <c r="AI7" s="25"/>
      <c r="AJ7" s="25"/>
      <c r="AK7" s="25"/>
      <c r="AL7" s="12">
        <v>28</v>
      </c>
      <c r="AM7" s="9" t="s">
        <v>5</v>
      </c>
    </row>
    <row r="8" spans="4:40" x14ac:dyDescent="0.45">
      <c r="D8" s="30" t="s">
        <v>6</v>
      </c>
      <c r="E8" s="31">
        <v>7</v>
      </c>
      <c r="F8" s="27" t="s">
        <v>7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3">
        <v>1</v>
      </c>
      <c r="Z8" s="33">
        <v>3</v>
      </c>
      <c r="AA8" s="32"/>
      <c r="AB8" s="33">
        <v>3</v>
      </c>
      <c r="AC8" s="32"/>
      <c r="AD8" s="32"/>
      <c r="AE8" s="32"/>
      <c r="AF8" s="32"/>
      <c r="AG8" s="32"/>
      <c r="AH8" s="32"/>
      <c r="AI8" s="32"/>
      <c r="AJ8" s="32"/>
      <c r="AK8" s="32"/>
      <c r="AL8" s="17"/>
      <c r="AM8" s="13">
        <f t="shared" ref="AM8:AM24" si="1">SUM(H8:AL8)</f>
        <v>7</v>
      </c>
      <c r="AN8" t="e">
        <f t="shared" ref="AN8:AN41" si="2">AM8-F8</f>
        <v>#VALUE!</v>
      </c>
    </row>
    <row r="9" spans="4:40" x14ac:dyDescent="0.45">
      <c r="D9" s="18" t="s">
        <v>8</v>
      </c>
      <c r="E9" s="31">
        <v>16</v>
      </c>
      <c r="F9" s="27" t="s">
        <v>9</v>
      </c>
      <c r="G9" s="32"/>
      <c r="H9" s="32"/>
      <c r="I9" s="32"/>
      <c r="J9" s="32"/>
      <c r="K9" s="32"/>
      <c r="L9" s="32"/>
      <c r="M9" s="32"/>
      <c r="N9" s="34">
        <v>1</v>
      </c>
      <c r="O9" s="34">
        <v>3</v>
      </c>
      <c r="P9" s="34">
        <v>3</v>
      </c>
      <c r="Q9" s="34">
        <v>3</v>
      </c>
      <c r="R9" s="34">
        <v>3</v>
      </c>
      <c r="S9" s="34">
        <v>3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17"/>
      <c r="AM9" s="13">
        <f t="shared" si="1"/>
        <v>16</v>
      </c>
      <c r="AN9" t="e">
        <f t="shared" si="2"/>
        <v>#VALUE!</v>
      </c>
    </row>
    <row r="10" spans="4:40" x14ac:dyDescent="0.45">
      <c r="D10" s="18" t="s">
        <v>10</v>
      </c>
      <c r="E10" s="31">
        <v>8</v>
      </c>
      <c r="F10" s="35">
        <v>8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17"/>
      <c r="AM10" s="13">
        <f t="shared" si="1"/>
        <v>0</v>
      </c>
      <c r="AN10">
        <f t="shared" si="2"/>
        <v>-8</v>
      </c>
    </row>
    <row r="11" spans="4:40" x14ac:dyDescent="0.45">
      <c r="D11" s="18" t="s">
        <v>11</v>
      </c>
      <c r="E11" s="31">
        <v>1</v>
      </c>
      <c r="F11" s="35">
        <v>1</v>
      </c>
      <c r="G11" s="32"/>
      <c r="H11" s="32"/>
      <c r="I11" s="32"/>
      <c r="J11" s="32"/>
      <c r="K11" s="32"/>
      <c r="L11" s="32"/>
      <c r="M11" s="32"/>
      <c r="N11" s="32"/>
      <c r="O11" s="32"/>
      <c r="P11" s="36"/>
      <c r="Q11" s="36"/>
      <c r="R11" s="36"/>
      <c r="S11" s="36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17"/>
      <c r="AM11" s="13">
        <f t="shared" si="1"/>
        <v>0</v>
      </c>
      <c r="AN11">
        <f t="shared" si="2"/>
        <v>-1</v>
      </c>
    </row>
    <row r="12" spans="4:40" x14ac:dyDescent="0.45">
      <c r="D12" s="18" t="s">
        <v>12</v>
      </c>
      <c r="E12" s="31">
        <v>4</v>
      </c>
      <c r="F12" s="27" t="s">
        <v>2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6"/>
      <c r="T12" s="32"/>
      <c r="U12" s="37">
        <v>1</v>
      </c>
      <c r="V12" s="37">
        <v>3</v>
      </c>
      <c r="W12" s="36"/>
      <c r="X12" s="36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17"/>
      <c r="AM12" s="13">
        <f t="shared" si="1"/>
        <v>4</v>
      </c>
      <c r="AN12" t="e">
        <f t="shared" si="2"/>
        <v>#VALUE!</v>
      </c>
    </row>
    <row r="13" spans="4:40" x14ac:dyDescent="0.45">
      <c r="D13" s="18" t="s">
        <v>13</v>
      </c>
      <c r="E13" s="31">
        <v>1</v>
      </c>
      <c r="F13" s="35">
        <v>1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17"/>
      <c r="AM13" s="13">
        <f t="shared" si="1"/>
        <v>0</v>
      </c>
      <c r="AN13">
        <f t="shared" si="2"/>
        <v>-1</v>
      </c>
    </row>
    <row r="14" spans="4:40" x14ac:dyDescent="0.45">
      <c r="D14" s="18" t="s">
        <v>13</v>
      </c>
      <c r="E14" s="31">
        <v>12</v>
      </c>
      <c r="F14" s="27" t="s">
        <v>14</v>
      </c>
      <c r="G14" s="32"/>
      <c r="H14" s="38">
        <v>3</v>
      </c>
      <c r="I14" s="38">
        <v>3</v>
      </c>
      <c r="J14" s="38">
        <v>3</v>
      </c>
      <c r="K14" s="38">
        <v>3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17"/>
      <c r="AM14" s="13">
        <f t="shared" si="1"/>
        <v>12</v>
      </c>
      <c r="AN14" t="e">
        <f t="shared" si="2"/>
        <v>#VALUE!</v>
      </c>
    </row>
    <row r="15" spans="4:40" x14ac:dyDescent="0.45">
      <c r="D15" s="18" t="s">
        <v>15</v>
      </c>
      <c r="E15" s="31">
        <v>8</v>
      </c>
      <c r="F15" s="27" t="s">
        <v>7</v>
      </c>
      <c r="G15" s="32"/>
      <c r="H15" s="32"/>
      <c r="I15" s="32"/>
      <c r="J15" s="32"/>
      <c r="K15" s="32"/>
      <c r="L15" s="32"/>
      <c r="M15" s="32"/>
      <c r="N15" s="33">
        <v>2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3">
        <v>3</v>
      </c>
      <c r="AD15" s="33">
        <v>3</v>
      </c>
      <c r="AE15" s="32"/>
      <c r="AF15" s="32"/>
      <c r="AG15" s="32"/>
      <c r="AH15" s="32"/>
      <c r="AI15" s="32"/>
      <c r="AJ15" s="32"/>
      <c r="AK15" s="32"/>
      <c r="AL15" s="17"/>
      <c r="AM15" s="13">
        <f t="shared" si="1"/>
        <v>8</v>
      </c>
      <c r="AN15" t="e">
        <f t="shared" si="2"/>
        <v>#VALUE!</v>
      </c>
    </row>
    <row r="16" spans="4:40" x14ac:dyDescent="0.45">
      <c r="D16" s="18" t="s">
        <v>16</v>
      </c>
      <c r="E16" s="31">
        <v>8</v>
      </c>
      <c r="F16" s="35">
        <v>8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17"/>
      <c r="AM16" s="13">
        <f t="shared" si="1"/>
        <v>0</v>
      </c>
      <c r="AN16">
        <f t="shared" si="2"/>
        <v>-8</v>
      </c>
    </row>
    <row r="17" spans="4:40" x14ac:dyDescent="0.45">
      <c r="D17" s="30" t="s">
        <v>17</v>
      </c>
      <c r="E17" s="31">
        <v>7</v>
      </c>
      <c r="F17" s="35">
        <v>7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17"/>
      <c r="AM17" s="13">
        <f t="shared" si="1"/>
        <v>0</v>
      </c>
      <c r="AN17">
        <f t="shared" si="2"/>
        <v>-7</v>
      </c>
    </row>
    <row r="18" spans="4:40" x14ac:dyDescent="0.45">
      <c r="D18" s="30" t="s">
        <v>18</v>
      </c>
      <c r="E18" s="31">
        <v>3</v>
      </c>
      <c r="F18" s="35">
        <v>3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17"/>
      <c r="AM18" s="13">
        <f t="shared" si="1"/>
        <v>0</v>
      </c>
      <c r="AN18">
        <f t="shared" si="2"/>
        <v>-3</v>
      </c>
    </row>
    <row r="19" spans="4:40" x14ac:dyDescent="0.45">
      <c r="D19" s="30" t="s">
        <v>19</v>
      </c>
      <c r="E19" s="31">
        <v>6</v>
      </c>
      <c r="F19" s="27" t="s">
        <v>20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9">
        <v>3</v>
      </c>
      <c r="S19" s="32"/>
      <c r="T19" s="32"/>
      <c r="U19" s="32"/>
      <c r="V19" s="39">
        <v>3</v>
      </c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17"/>
      <c r="AM19" s="13">
        <f t="shared" si="1"/>
        <v>6</v>
      </c>
      <c r="AN19" t="e">
        <f t="shared" si="2"/>
        <v>#VALUE!</v>
      </c>
    </row>
    <row r="20" spans="4:40" x14ac:dyDescent="0.45">
      <c r="D20" s="30" t="s">
        <v>19</v>
      </c>
      <c r="E20" s="31">
        <v>1</v>
      </c>
      <c r="F20" s="35">
        <v>1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17"/>
      <c r="AM20" s="13">
        <f t="shared" si="1"/>
        <v>0</v>
      </c>
      <c r="AN20">
        <f t="shared" si="2"/>
        <v>-1</v>
      </c>
    </row>
    <row r="21" spans="4:40" x14ac:dyDescent="0.45">
      <c r="D21" s="30" t="s">
        <v>19</v>
      </c>
      <c r="E21" s="31">
        <v>3</v>
      </c>
      <c r="F21" s="27" t="s">
        <v>7</v>
      </c>
      <c r="G21" s="32"/>
      <c r="H21" s="33">
        <v>3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17"/>
      <c r="AM21" s="13">
        <f t="shared" si="1"/>
        <v>3</v>
      </c>
      <c r="AN21" t="e">
        <f t="shared" si="2"/>
        <v>#VALUE!</v>
      </c>
    </row>
    <row r="22" spans="4:40" x14ac:dyDescent="0.45">
      <c r="D22" s="30" t="s">
        <v>21</v>
      </c>
      <c r="E22" s="31">
        <v>5</v>
      </c>
      <c r="F22" s="27" t="s">
        <v>20</v>
      </c>
      <c r="G22" s="32"/>
      <c r="H22" s="32"/>
      <c r="I22" s="32"/>
      <c r="J22" s="32"/>
      <c r="K22" s="32"/>
      <c r="L22" s="32"/>
      <c r="M22" s="32"/>
      <c r="N22" s="32"/>
      <c r="O22" s="32"/>
      <c r="P22" s="39">
        <v>2</v>
      </c>
      <c r="Q22" s="39">
        <v>3</v>
      </c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17"/>
      <c r="AM22" s="13">
        <f t="shared" si="1"/>
        <v>5</v>
      </c>
      <c r="AN22" t="e">
        <f t="shared" si="2"/>
        <v>#VALUE!</v>
      </c>
    </row>
    <row r="23" spans="4:40" x14ac:dyDescent="0.45">
      <c r="D23" s="30" t="s">
        <v>22</v>
      </c>
      <c r="E23" s="31">
        <v>5</v>
      </c>
      <c r="F23" s="27" t="s">
        <v>9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4">
        <v>2</v>
      </c>
      <c r="AC23" s="34">
        <v>3</v>
      </c>
      <c r="AD23" s="32"/>
      <c r="AE23" s="32"/>
      <c r="AF23" s="32"/>
      <c r="AG23" s="32"/>
      <c r="AH23" s="32"/>
      <c r="AI23" s="32"/>
      <c r="AJ23" s="32"/>
      <c r="AK23" s="32"/>
      <c r="AL23" s="17"/>
      <c r="AM23" s="13">
        <f t="shared" si="1"/>
        <v>5</v>
      </c>
      <c r="AN23" t="e">
        <f t="shared" si="2"/>
        <v>#VALUE!</v>
      </c>
    </row>
    <row r="24" spans="4:40" x14ac:dyDescent="0.45">
      <c r="D24" s="40" t="s">
        <v>23</v>
      </c>
      <c r="E24" s="31">
        <v>6</v>
      </c>
      <c r="F24" s="27" t="s">
        <v>20</v>
      </c>
      <c r="G24" s="32"/>
      <c r="H24" s="32"/>
      <c r="I24" s="32"/>
      <c r="J24" s="32"/>
      <c r="K24" s="32"/>
      <c r="L24" s="32"/>
      <c r="M24" s="32"/>
      <c r="N24" s="39">
        <v>3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9">
        <v>3</v>
      </c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17"/>
      <c r="AM24" s="13">
        <f t="shared" si="1"/>
        <v>6</v>
      </c>
      <c r="AN24" t="e">
        <f t="shared" si="2"/>
        <v>#VALUE!</v>
      </c>
    </row>
    <row r="25" spans="4:40" x14ac:dyDescent="0.45">
      <c r="D25" s="30" t="s">
        <v>23</v>
      </c>
      <c r="E25" s="31">
        <v>10</v>
      </c>
      <c r="F25" s="27" t="s">
        <v>7</v>
      </c>
      <c r="G25" s="33">
        <v>1</v>
      </c>
      <c r="H25" s="36"/>
      <c r="I25" s="33">
        <v>3</v>
      </c>
      <c r="J25" s="33">
        <v>3</v>
      </c>
      <c r="K25" s="33">
        <v>3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41"/>
      <c r="X25" s="41"/>
      <c r="Y25" s="41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17"/>
      <c r="AM25" s="13">
        <f>SUM(I25:AL25)</f>
        <v>9</v>
      </c>
      <c r="AN25" t="e">
        <f t="shared" si="2"/>
        <v>#VALUE!</v>
      </c>
    </row>
    <row r="26" spans="4:40" x14ac:dyDescent="0.45">
      <c r="D26" s="30" t="s">
        <v>24</v>
      </c>
      <c r="E26" s="31">
        <v>36</v>
      </c>
      <c r="F26" s="27" t="s">
        <v>20</v>
      </c>
      <c r="G26" s="39">
        <v>3</v>
      </c>
      <c r="H26" s="39">
        <v>3</v>
      </c>
      <c r="I26" s="39">
        <v>3</v>
      </c>
      <c r="J26" s="39">
        <v>3</v>
      </c>
      <c r="K26" s="39">
        <v>3</v>
      </c>
      <c r="L26" s="39">
        <v>3</v>
      </c>
      <c r="M26" s="32"/>
      <c r="N26" s="32"/>
      <c r="O26" s="32"/>
      <c r="P26" s="32"/>
      <c r="Q26" s="32"/>
      <c r="R26" s="32"/>
      <c r="S26" s="39">
        <v>3</v>
      </c>
      <c r="T26" s="32"/>
      <c r="U26" s="39">
        <v>3</v>
      </c>
      <c r="V26" s="32"/>
      <c r="W26" s="32"/>
      <c r="X26" s="32"/>
      <c r="Y26" s="32"/>
      <c r="Z26" s="39">
        <v>3</v>
      </c>
      <c r="AA26" s="32"/>
      <c r="AB26" s="39">
        <v>3</v>
      </c>
      <c r="AC26" s="39">
        <v>3</v>
      </c>
      <c r="AD26" s="39">
        <v>3</v>
      </c>
      <c r="AE26" s="32"/>
      <c r="AF26" s="32"/>
      <c r="AG26" s="32"/>
      <c r="AH26" s="32"/>
      <c r="AI26" s="32"/>
      <c r="AJ26" s="32"/>
      <c r="AK26" s="32"/>
      <c r="AL26" s="17"/>
      <c r="AM26" s="13">
        <f t="shared" ref="AM26:AM41" si="3">SUM(H26:AL26)</f>
        <v>33</v>
      </c>
      <c r="AN26" t="e">
        <f t="shared" si="2"/>
        <v>#VALUE!</v>
      </c>
    </row>
    <row r="27" spans="4:40" x14ac:dyDescent="0.45">
      <c r="D27" s="30" t="s">
        <v>24</v>
      </c>
      <c r="E27" s="31">
        <v>36</v>
      </c>
      <c r="F27" s="27" t="s">
        <v>9</v>
      </c>
      <c r="G27" s="34">
        <v>3</v>
      </c>
      <c r="H27" s="34">
        <v>3</v>
      </c>
      <c r="I27" s="34">
        <v>3</v>
      </c>
      <c r="J27" s="34">
        <v>3</v>
      </c>
      <c r="K27" s="34">
        <v>3</v>
      </c>
      <c r="L27" s="34">
        <v>3</v>
      </c>
      <c r="M27" s="32"/>
      <c r="N27" s="32"/>
      <c r="O27" s="32"/>
      <c r="P27" s="32"/>
      <c r="Q27" s="32"/>
      <c r="R27" s="32"/>
      <c r="S27" s="32"/>
      <c r="T27" s="32"/>
      <c r="U27" s="34">
        <v>3</v>
      </c>
      <c r="V27" s="34">
        <v>3</v>
      </c>
      <c r="W27" s="34">
        <v>3</v>
      </c>
      <c r="X27" s="34">
        <v>3</v>
      </c>
      <c r="Y27" s="34">
        <v>3</v>
      </c>
      <c r="Z27" s="34">
        <v>3</v>
      </c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17"/>
      <c r="AM27" s="13">
        <f t="shared" si="3"/>
        <v>33</v>
      </c>
      <c r="AN27" t="e">
        <f t="shared" si="2"/>
        <v>#VALUE!</v>
      </c>
    </row>
    <row r="28" spans="4:40" x14ac:dyDescent="0.45">
      <c r="D28" s="30" t="s">
        <v>24</v>
      </c>
      <c r="E28" s="31">
        <v>36</v>
      </c>
      <c r="F28" s="27" t="s">
        <v>14</v>
      </c>
      <c r="G28" s="32"/>
      <c r="H28" s="32"/>
      <c r="I28" s="32"/>
      <c r="J28" s="32"/>
      <c r="K28" s="32"/>
      <c r="L28" s="32"/>
      <c r="M28" s="32"/>
      <c r="N28" s="38">
        <v>3</v>
      </c>
      <c r="O28" s="32"/>
      <c r="P28" s="32"/>
      <c r="Q28" s="38">
        <v>3</v>
      </c>
      <c r="R28" s="38">
        <v>3</v>
      </c>
      <c r="S28" s="38">
        <v>3</v>
      </c>
      <c r="T28" s="32"/>
      <c r="U28" s="38">
        <v>3</v>
      </c>
      <c r="V28" s="38">
        <v>3</v>
      </c>
      <c r="W28" s="38">
        <v>3</v>
      </c>
      <c r="X28" s="38">
        <v>3</v>
      </c>
      <c r="Y28" s="38">
        <v>3</v>
      </c>
      <c r="Z28" s="38">
        <v>3</v>
      </c>
      <c r="AA28" s="32"/>
      <c r="AB28" s="38">
        <v>3</v>
      </c>
      <c r="AC28" s="38">
        <v>3</v>
      </c>
      <c r="AD28" s="32"/>
      <c r="AE28" s="32"/>
      <c r="AF28" s="32"/>
      <c r="AG28" s="32"/>
      <c r="AH28" s="32"/>
      <c r="AI28" s="32"/>
      <c r="AJ28" s="32"/>
      <c r="AK28" s="32"/>
      <c r="AL28" s="17"/>
      <c r="AM28" s="13">
        <f t="shared" si="3"/>
        <v>36</v>
      </c>
      <c r="AN28" t="e">
        <f t="shared" si="2"/>
        <v>#VALUE!</v>
      </c>
    </row>
    <row r="29" spans="4:40" x14ac:dyDescent="0.45">
      <c r="D29" s="30" t="s">
        <v>24</v>
      </c>
      <c r="E29" s="31">
        <v>27</v>
      </c>
      <c r="F29" s="27" t="s">
        <v>25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42">
        <v>3</v>
      </c>
      <c r="V29" s="42">
        <v>3</v>
      </c>
      <c r="W29" s="42">
        <v>3</v>
      </c>
      <c r="X29" s="42">
        <v>3</v>
      </c>
      <c r="Y29" s="42">
        <v>3</v>
      </c>
      <c r="Z29" s="42">
        <v>3</v>
      </c>
      <c r="AA29" s="32"/>
      <c r="AB29" s="42">
        <v>3</v>
      </c>
      <c r="AC29" s="42">
        <v>3</v>
      </c>
      <c r="AD29" s="42">
        <v>3</v>
      </c>
      <c r="AE29" s="32"/>
      <c r="AF29" s="32"/>
      <c r="AG29" s="32"/>
      <c r="AH29" s="32"/>
      <c r="AI29" s="32"/>
      <c r="AJ29" s="32"/>
      <c r="AK29" s="32"/>
      <c r="AL29" s="17"/>
      <c r="AM29" s="13">
        <f t="shared" si="3"/>
        <v>27</v>
      </c>
      <c r="AN29" t="e">
        <f t="shared" si="2"/>
        <v>#VALUE!</v>
      </c>
    </row>
    <row r="30" spans="4:40" x14ac:dyDescent="0.45">
      <c r="D30" s="30" t="s">
        <v>26</v>
      </c>
      <c r="E30" s="31">
        <v>9</v>
      </c>
      <c r="F30" s="27" t="s">
        <v>20</v>
      </c>
      <c r="G30" s="32"/>
      <c r="H30" s="32"/>
      <c r="I30" s="32"/>
      <c r="J30" s="32"/>
      <c r="K30" s="32"/>
      <c r="L30" s="32"/>
      <c r="M30" s="32"/>
      <c r="N30" s="32"/>
      <c r="O30" s="39">
        <v>3</v>
      </c>
      <c r="P30" s="32"/>
      <c r="Q30" s="32"/>
      <c r="R30" s="32"/>
      <c r="S30" s="32"/>
      <c r="T30" s="32"/>
      <c r="U30" s="32"/>
      <c r="V30" s="32"/>
      <c r="W30" s="39">
        <v>3</v>
      </c>
      <c r="X30" s="39">
        <v>3</v>
      </c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17"/>
      <c r="AM30" s="13">
        <f t="shared" si="3"/>
        <v>9</v>
      </c>
      <c r="AN30" t="e">
        <f t="shared" si="2"/>
        <v>#VALUE!</v>
      </c>
    </row>
    <row r="31" spans="4:40" x14ac:dyDescent="0.45">
      <c r="D31" s="30" t="s">
        <v>27</v>
      </c>
      <c r="E31" s="31">
        <v>15</v>
      </c>
      <c r="F31" s="27" t="s">
        <v>7</v>
      </c>
      <c r="G31" s="32"/>
      <c r="H31" s="32"/>
      <c r="I31" s="32"/>
      <c r="J31" s="32"/>
      <c r="K31" s="32"/>
      <c r="L31" s="32"/>
      <c r="M31" s="32"/>
      <c r="N31" s="32"/>
      <c r="O31" s="33">
        <v>3</v>
      </c>
      <c r="P31" s="33">
        <v>3</v>
      </c>
      <c r="Q31" s="33">
        <v>3</v>
      </c>
      <c r="R31" s="33">
        <v>3</v>
      </c>
      <c r="S31" s="33">
        <v>3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17"/>
      <c r="AM31" s="13">
        <f t="shared" si="3"/>
        <v>15</v>
      </c>
      <c r="AN31" t="e">
        <f t="shared" si="2"/>
        <v>#VALUE!</v>
      </c>
    </row>
    <row r="32" spans="4:40" x14ac:dyDescent="0.45">
      <c r="D32" s="30" t="s">
        <v>28</v>
      </c>
      <c r="E32" s="31">
        <v>3</v>
      </c>
      <c r="F32" s="27" t="s">
        <v>9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4">
        <v>3</v>
      </c>
      <c r="AE32" s="32"/>
      <c r="AF32" s="32"/>
      <c r="AG32" s="32"/>
      <c r="AH32" s="32"/>
      <c r="AI32" s="32"/>
      <c r="AJ32" s="32"/>
      <c r="AK32" s="32"/>
      <c r="AL32" s="17"/>
      <c r="AM32" s="13">
        <f t="shared" si="3"/>
        <v>3</v>
      </c>
      <c r="AN32" t="e">
        <f t="shared" si="2"/>
        <v>#VALUE!</v>
      </c>
    </row>
    <row r="33" spans="4:40" x14ac:dyDescent="0.45">
      <c r="D33" s="30" t="s">
        <v>28</v>
      </c>
      <c r="E33" s="31">
        <v>15</v>
      </c>
      <c r="F33" s="27" t="s">
        <v>14</v>
      </c>
      <c r="G33" s="38">
        <v>3</v>
      </c>
      <c r="H33" s="32"/>
      <c r="I33" s="32"/>
      <c r="J33" s="32"/>
      <c r="K33" s="32"/>
      <c r="L33" s="38">
        <v>3</v>
      </c>
      <c r="M33" s="32"/>
      <c r="N33" s="32"/>
      <c r="O33" s="38">
        <v>3</v>
      </c>
      <c r="P33" s="38">
        <v>3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8">
        <v>3</v>
      </c>
      <c r="AE33" s="32"/>
      <c r="AF33" s="32"/>
      <c r="AG33" s="32"/>
      <c r="AH33" s="32"/>
      <c r="AI33" s="32"/>
      <c r="AJ33" s="32"/>
      <c r="AK33" s="32"/>
      <c r="AL33" s="17"/>
      <c r="AM33" s="13">
        <f t="shared" si="3"/>
        <v>12</v>
      </c>
      <c r="AN33" t="e">
        <f t="shared" si="2"/>
        <v>#VALUE!</v>
      </c>
    </row>
    <row r="34" spans="4:40" x14ac:dyDescent="0.45">
      <c r="D34" s="30" t="s">
        <v>28</v>
      </c>
      <c r="E34" s="31">
        <v>8</v>
      </c>
      <c r="F34" s="27" t="s">
        <v>29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43">
        <v>2</v>
      </c>
      <c r="AC34" s="43">
        <v>3</v>
      </c>
      <c r="AD34" s="43">
        <v>3</v>
      </c>
      <c r="AE34" s="32"/>
      <c r="AF34" s="32"/>
      <c r="AG34" s="32"/>
      <c r="AH34" s="32"/>
      <c r="AI34" s="32"/>
      <c r="AJ34" s="32"/>
      <c r="AK34" s="32"/>
      <c r="AL34" s="17"/>
      <c r="AM34" s="13">
        <f t="shared" si="3"/>
        <v>8</v>
      </c>
      <c r="AN34" t="e">
        <f t="shared" si="2"/>
        <v>#VALUE!</v>
      </c>
    </row>
    <row r="35" spans="4:40" hidden="1" x14ac:dyDescent="0.45">
      <c r="D35" s="8"/>
      <c r="F35" s="9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17"/>
      <c r="AM35" s="13">
        <f t="shared" si="3"/>
        <v>0</v>
      </c>
      <c r="AN35">
        <f t="shared" si="2"/>
        <v>0</v>
      </c>
    </row>
    <row r="36" spans="4:40" hidden="1" x14ac:dyDescent="0.45">
      <c r="D36" s="8"/>
      <c r="F36" s="9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17"/>
      <c r="AM36" s="13">
        <f t="shared" si="3"/>
        <v>0</v>
      </c>
      <c r="AN36">
        <f t="shared" si="2"/>
        <v>0</v>
      </c>
    </row>
    <row r="37" spans="4:40" hidden="1" x14ac:dyDescent="0.45">
      <c r="D37" s="8"/>
      <c r="F37" s="9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17"/>
      <c r="AM37" s="13">
        <f t="shared" si="3"/>
        <v>0</v>
      </c>
      <c r="AN37">
        <f t="shared" si="2"/>
        <v>0</v>
      </c>
    </row>
    <row r="38" spans="4:40" hidden="1" x14ac:dyDescent="0.45">
      <c r="D38" s="8"/>
      <c r="F38" s="9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17"/>
      <c r="AM38" s="13">
        <f t="shared" si="3"/>
        <v>0</v>
      </c>
      <c r="AN38">
        <f t="shared" si="2"/>
        <v>0</v>
      </c>
    </row>
    <row r="39" spans="4:40" hidden="1" x14ac:dyDescent="0.45">
      <c r="D39" s="8"/>
      <c r="F39" s="9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17"/>
      <c r="AM39" s="13">
        <f t="shared" si="3"/>
        <v>0</v>
      </c>
      <c r="AN39">
        <f t="shared" si="2"/>
        <v>0</v>
      </c>
    </row>
    <row r="40" spans="4:40" hidden="1" x14ac:dyDescent="0.45">
      <c r="D40" s="8"/>
      <c r="F40" s="9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17"/>
      <c r="AM40" s="13">
        <f t="shared" si="3"/>
        <v>0</v>
      </c>
      <c r="AN40">
        <f t="shared" si="2"/>
        <v>0</v>
      </c>
    </row>
    <row r="41" spans="4:40" hidden="1" x14ac:dyDescent="0.45">
      <c r="D41" s="8"/>
      <c r="F41" s="9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17"/>
      <c r="AM41" s="13">
        <f t="shared" si="3"/>
        <v>0</v>
      </c>
      <c r="AN41">
        <f t="shared" si="2"/>
        <v>0</v>
      </c>
    </row>
    <row r="42" spans="4:40" hidden="1" x14ac:dyDescent="0.45">
      <c r="E42" s="10"/>
      <c r="F42" s="10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10">
        <f>+SUM(AL8:AL41)</f>
        <v>0</v>
      </c>
      <c r="AM42" s="10">
        <f>+SUM(AM7:AM41)</f>
        <v>257</v>
      </c>
    </row>
    <row r="43" spans="4:40" x14ac:dyDescent="0.45"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</row>
    <row r="44" spans="4:40" x14ac:dyDescent="0.45"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</row>
    <row r="45" spans="4:40" x14ac:dyDescent="0.45"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</row>
    <row r="46" spans="4:40" x14ac:dyDescent="0.45"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</row>
    <row r="47" spans="4:40" x14ac:dyDescent="0.45"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</row>
    <row r="48" spans="4:40" x14ac:dyDescent="0.45"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</row>
    <row r="49" spans="7:37" x14ac:dyDescent="0.45"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</row>
    <row r="50" spans="7:37" x14ac:dyDescent="0.45"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</row>
    <row r="51" spans="7:37" x14ac:dyDescent="0.45"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</row>
    <row r="52" spans="7:37" x14ac:dyDescent="0.45"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</row>
    <row r="53" spans="7:37" x14ac:dyDescent="0.45"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7:37" x14ac:dyDescent="0.45"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7:37" x14ac:dyDescent="0.45"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7:37" x14ac:dyDescent="0.45"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7:37" x14ac:dyDescent="0.45"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7:37" x14ac:dyDescent="0.45"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7:37" x14ac:dyDescent="0.45"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7:37" x14ac:dyDescent="0.45"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7:37" x14ac:dyDescent="0.45"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7:37" x14ac:dyDescent="0.45"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7:37" x14ac:dyDescent="0.45"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7:37" x14ac:dyDescent="0.45"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7:37" x14ac:dyDescent="0.45"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7:37" x14ac:dyDescent="0.45"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</row>
    <row r="67" spans="7:37" x14ac:dyDescent="0.45"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7:37" x14ac:dyDescent="0.45"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7:37" x14ac:dyDescent="0.45"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7:37" x14ac:dyDescent="0.45"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7:37" x14ac:dyDescent="0.45"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7:37" x14ac:dyDescent="0.45"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7:37" x14ac:dyDescent="0.45"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7:37" x14ac:dyDescent="0.45"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7:37" x14ac:dyDescent="0.45"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7:37" x14ac:dyDescent="0.45"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7:37" x14ac:dyDescent="0.45"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7:37" x14ac:dyDescent="0.45"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7:37" x14ac:dyDescent="0.45"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7:37" x14ac:dyDescent="0.45"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7:37" x14ac:dyDescent="0.45"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7:37" x14ac:dyDescent="0.45"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7:37" x14ac:dyDescent="0.45"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7:37" x14ac:dyDescent="0.45"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7:37" x14ac:dyDescent="0.45"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7:37" x14ac:dyDescent="0.45"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7:37" x14ac:dyDescent="0.45"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7:37" x14ac:dyDescent="0.45"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7:37" x14ac:dyDescent="0.45"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7:37" x14ac:dyDescent="0.45"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7:37" x14ac:dyDescent="0.45"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7:37" x14ac:dyDescent="0.45"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7:37" x14ac:dyDescent="0.45"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7:37" x14ac:dyDescent="0.45"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7:37" x14ac:dyDescent="0.45"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7:37" x14ac:dyDescent="0.45"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7:37" x14ac:dyDescent="0.45"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7:37" x14ac:dyDescent="0.45"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7:37" x14ac:dyDescent="0.45"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7:37" x14ac:dyDescent="0.45"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7:37" x14ac:dyDescent="0.45"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7:37" x14ac:dyDescent="0.45"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7:37" x14ac:dyDescent="0.45"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7:37" x14ac:dyDescent="0.45"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7:37" x14ac:dyDescent="0.45"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7:37" x14ac:dyDescent="0.45"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7:37" x14ac:dyDescent="0.45"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7:37" x14ac:dyDescent="0.45"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7:37" x14ac:dyDescent="0.45"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7:37" x14ac:dyDescent="0.45"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7:37" x14ac:dyDescent="0.45"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7:37" x14ac:dyDescent="0.45"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7:37" x14ac:dyDescent="0.45"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7:37" x14ac:dyDescent="0.45"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7:37" x14ac:dyDescent="0.45"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7:37" x14ac:dyDescent="0.45"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7:37" x14ac:dyDescent="0.45"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7:37" x14ac:dyDescent="0.45"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7:37" x14ac:dyDescent="0.45"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7:37" x14ac:dyDescent="0.45"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7:37" x14ac:dyDescent="0.45"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7:37" x14ac:dyDescent="0.45"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7:37" x14ac:dyDescent="0.45"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7:37" x14ac:dyDescent="0.45"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7:37" x14ac:dyDescent="0.45"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7:37" x14ac:dyDescent="0.45"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7:37" x14ac:dyDescent="0.45"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7:37" x14ac:dyDescent="0.45"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7:37" x14ac:dyDescent="0.45"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7:37" x14ac:dyDescent="0.45"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7:37" x14ac:dyDescent="0.45"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7:37" x14ac:dyDescent="0.45"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7:37" x14ac:dyDescent="0.45"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7:37" x14ac:dyDescent="0.45"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7:37" x14ac:dyDescent="0.45"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7:37" x14ac:dyDescent="0.45"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7:37" x14ac:dyDescent="0.45"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  <row r="138" spans="7:37" x14ac:dyDescent="0.45"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</row>
    <row r="139" spans="7:37" x14ac:dyDescent="0.45"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</row>
    <row r="140" spans="7:37" x14ac:dyDescent="0.45"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</row>
    <row r="141" spans="7:37" x14ac:dyDescent="0.45"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</row>
    <row r="142" spans="7:37" x14ac:dyDescent="0.45"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</row>
    <row r="143" spans="7:37" x14ac:dyDescent="0.45"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</row>
    <row r="144" spans="7:37" x14ac:dyDescent="0.45"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</row>
    <row r="145" spans="7:37" x14ac:dyDescent="0.45"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</row>
    <row r="146" spans="7:37" x14ac:dyDescent="0.45"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</row>
    <row r="147" spans="7:37" x14ac:dyDescent="0.45"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</row>
    <row r="148" spans="7:37" x14ac:dyDescent="0.45"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</row>
    <row r="149" spans="7:37" x14ac:dyDescent="0.45"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</row>
  </sheetData>
  <autoFilter ref="E7:AM42" xr:uid="{00000000-0009-0000-0000-000000000000}">
    <filterColumn colId="2">
      <filters>
        <filter val="Efrain"/>
        <filter val="Fabian D."/>
        <filter val="Jimmy"/>
        <filter val="Luis"/>
        <filter val="Orlando"/>
        <filter val="Wilmer"/>
      </filters>
    </filterColumn>
    <sortState xmlns:xlrd2="http://schemas.microsoft.com/office/spreadsheetml/2017/richdata2" ref="E8:AM42">
      <sortCondition ref="G8:G42"/>
      <sortCondition ref="E8:E42"/>
    </sortState>
  </autoFilter>
  <conditionalFormatting sqref="E1:E1048576">
    <cfRule type="duplicateValues" dxfId="0" priority="1"/>
  </conditionalFormatting>
  <pageMargins left="0.70866141732283472" right="0.70866141732283472" top="0.74803149606299213" bottom="0.74803149606299213" header="0.31496062992125978" footer="0.31496062992125978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L-V</vt:lpstr>
      <vt:lpstr>'Gantt L-V'!Área_de_impresión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Jimenez</dc:creator>
  <cp:lastModifiedBy>christian zambrano vallejos</cp:lastModifiedBy>
  <cp:lastPrinted>2025-11-05T14:35:35Z</cp:lastPrinted>
  <dcterms:created xsi:type="dcterms:W3CDTF">2025-11-05T14:16:25Z</dcterms:created>
  <dcterms:modified xsi:type="dcterms:W3CDTF">2026-01-04T17:23:11Z</dcterms:modified>
</cp:coreProperties>
</file>