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2500" windowWidth="19420" windowHeight="10300" tabRatio="600" firstSheet="0" activeTab="0" autoFilterDateGrouping="1"/>
  </bookViews>
  <sheets>
    <sheet name="Gantt L-V" sheetId="1" state="visible" r:id="rId1"/>
  </sheets>
  <externalReferences>
    <externalReference r:id="rId2"/>
  </externalReferences>
  <definedNames>
    <definedName name="_xlnm._FilterDatabase" localSheetId="0" hidden="1">'Gantt L-V'!$E$7:$AM$42</definedName>
    <definedName name="_xlnm.Print_Area" localSheetId="0">'Gantt L-V'!$E$4:$AM$42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 tint="0.0499893185216834"/>
      <sz val="11"/>
      <scheme val="minor"/>
    </font>
    <font>
      <name val="Aptos Narrow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A9A9A9"/>
        <bgColor rgb="00A9A9A9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2" fillId="0" borderId="1" applyAlignment="1" pivotButton="0" quotePrefix="0" xfId="0">
      <alignment horizontal="center" textRotation="90"/>
    </xf>
    <xf numFmtId="0" fontId="2" fillId="0" borderId="2" applyAlignment="1" pivotButton="0" quotePrefix="0" xfId="0">
      <alignment horizontal="center" textRotation="90"/>
    </xf>
    <xf numFmtId="0" fontId="2" fillId="0" borderId="3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 textRotation="90"/>
    </xf>
    <xf numFmtId="0" fontId="2" fillId="0" borderId="5" applyAlignment="1" pivotButton="0" quotePrefix="0" xfId="0">
      <alignment horizontal="center" textRotation="90"/>
    </xf>
    <xf numFmtId="0" fontId="2" fillId="0" borderId="6" applyAlignment="1" pivotButton="0" quotePrefix="0" xfId="0">
      <alignment horizontal="center" textRotation="90"/>
    </xf>
    <xf numFmtId="16" fontId="2" fillId="0" borderId="7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/>
    </xf>
    <xf numFmtId="16" fontId="0" fillId="0" borderId="0" pivotButton="0" quotePrefix="0" xfId="0"/>
    <xf numFmtId="0" fontId="1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1" fillId="5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2" fillId="3" borderId="3" applyAlignment="1" pivotButton="0" quotePrefix="0" xfId="0">
      <alignment horizontal="center" textRotation="90"/>
    </xf>
    <xf numFmtId="0" fontId="2" fillId="3" borderId="4" applyAlignment="1" pivotButton="0" quotePrefix="0" xfId="0">
      <alignment horizontal="center" textRotation="90"/>
    </xf>
    <xf numFmtId="0" fontId="2" fillId="6" borderId="3" applyAlignment="1" pivotButton="0" quotePrefix="0" xfId="0">
      <alignment horizontal="center" textRotation="90"/>
    </xf>
    <xf numFmtId="1" fontId="0" fillId="0" borderId="0" pivotButton="0" quotePrefix="0" xfId="0"/>
    <xf numFmtId="0" fontId="0" fillId="3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12" pivotButton="0" quotePrefix="0" xfId="0"/>
    <xf numFmtId="0" fontId="2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center" textRotation="90"/>
    </xf>
    <xf numFmtId="0" fontId="2" fillId="7" borderId="12" applyAlignment="1" pivotButton="0" quotePrefix="0" xfId="0">
      <alignment horizontal="center"/>
    </xf>
    <xf numFmtId="16" fontId="2" fillId="7" borderId="12" applyAlignment="1" pivotButton="0" quotePrefix="0" xfId="0">
      <alignment horizontal="center"/>
    </xf>
    <xf numFmtId="16" fontId="2" fillId="0" borderId="11" applyAlignment="1" pivotButton="0" quotePrefix="0" xfId="0">
      <alignment horizontal="center" textRotation="90"/>
    </xf>
    <xf numFmtId="0" fontId="2" fillId="8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16" fontId="0" fillId="0" borderId="12" pivotButton="0" quotePrefix="0" xfId="0"/>
    <xf numFmtId="0" fontId="0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9" borderId="12" applyAlignment="1" pivotButton="0" quotePrefix="0" xfId="0">
      <alignment horizontal="center"/>
    </xf>
    <xf numFmtId="0" fontId="0" fillId="10" borderId="12" applyAlignment="1" pivotButton="0" quotePrefix="0" xfId="0">
      <alignment horizontal="center"/>
    </xf>
    <xf numFmtId="0" fontId="1" fillId="8" borderId="12" applyAlignment="1" pivotButton="0" quotePrefix="0" xfId="0">
      <alignment horizontal="center"/>
    </xf>
    <xf numFmtId="0" fontId="0" fillId="0" borderId="11" pivotButton="0" quotePrefix="0" xfId="0"/>
    <xf numFmtId="0" fontId="0" fillId="7" borderId="12" applyAlignment="1" pivotButton="0" quotePrefix="0" xfId="0">
      <alignment horizontal="center"/>
    </xf>
    <xf numFmtId="0" fontId="0" fillId="11" borderId="12" applyAlignment="1" pivotButton="0" quotePrefix="0" xfId="0">
      <alignment horizontal="center"/>
    </xf>
    <xf numFmtId="0" fontId="0" fillId="12" borderId="12" applyAlignment="1" pivotButton="0" quotePrefix="0" xfId="0">
      <alignment horizontal="center"/>
    </xf>
    <xf numFmtId="1" fontId="0" fillId="0" borderId="12" pivotButton="0" quotePrefix="0" xfId="0"/>
    <xf numFmtId="0" fontId="3" fillId="0" borderId="11" applyAlignment="1" pivotButton="0" quotePrefix="0" xfId="0">
      <alignment horizontal="center"/>
    </xf>
    <xf numFmtId="0" fontId="0" fillId="13" borderId="12" applyAlignment="1" pivotButton="0" quotePrefix="0" xfId="0">
      <alignment horizontal="center"/>
    </xf>
    <xf numFmtId="0" fontId="0" fillId="14" borderId="12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fd171dda8de17894/Desktop/cerebro-patio/Cerebro/resultado_optimizacion_gps_v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_Total"/>
      <sheetName val="Costos_por_Ciudad"/>
      <sheetName val="Costos_por_Tecnico"/>
      <sheetName val="Plan_Diario"/>
      <sheetName val="base_gantt"/>
      <sheetName val="Hoja1"/>
      <sheetName val="Demanda_y_Materiale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ciudad</v>
          </cell>
          <cell r="B1" t="str">
            <v>vehiculos_1gps</v>
          </cell>
          <cell r="C1" t="str">
            <v>vehiculos_2gps</v>
          </cell>
          <cell r="D1" t="str">
            <v>gps_total</v>
          </cell>
        </row>
        <row r="2">
          <cell r="A2" t="str">
            <v>Antofagasta</v>
          </cell>
          <cell r="B2">
            <v>0</v>
          </cell>
          <cell r="C2">
            <v>11</v>
          </cell>
          <cell r="D2">
            <v>22</v>
          </cell>
        </row>
        <row r="3">
          <cell r="A3" t="str">
            <v>Arica</v>
          </cell>
          <cell r="B3">
            <v>0</v>
          </cell>
          <cell r="C3">
            <v>6</v>
          </cell>
          <cell r="D3">
            <v>12</v>
          </cell>
        </row>
        <row r="4">
          <cell r="A4" t="str">
            <v>Calama</v>
          </cell>
          <cell r="B4">
            <v>0</v>
          </cell>
          <cell r="C4">
            <v>2</v>
          </cell>
          <cell r="D4">
            <v>4</v>
          </cell>
        </row>
        <row r="5">
          <cell r="A5" t="str">
            <v>Caldera</v>
          </cell>
          <cell r="B5">
            <v>0</v>
          </cell>
          <cell r="C5">
            <v>11</v>
          </cell>
          <cell r="D5">
            <v>22</v>
          </cell>
        </row>
        <row r="6">
          <cell r="A6" t="str">
            <v>Castro</v>
          </cell>
          <cell r="B6">
            <v>2</v>
          </cell>
          <cell r="C6">
            <v>0</v>
          </cell>
          <cell r="D6">
            <v>2</v>
          </cell>
        </row>
        <row r="7">
          <cell r="A7" t="str">
            <v>Chillán</v>
          </cell>
          <cell r="B7">
            <v>2</v>
          </cell>
          <cell r="C7">
            <v>0</v>
          </cell>
          <cell r="D7">
            <v>2</v>
          </cell>
        </row>
        <row r="8">
          <cell r="A8" t="str">
            <v>Concepción</v>
          </cell>
          <cell r="B8">
            <v>5</v>
          </cell>
          <cell r="C8">
            <v>2</v>
          </cell>
          <cell r="D8">
            <v>9</v>
          </cell>
        </row>
        <row r="9">
          <cell r="A9" t="str">
            <v>Copiapó</v>
          </cell>
          <cell r="B9">
            <v>2</v>
          </cell>
          <cell r="C9">
            <v>0</v>
          </cell>
          <cell r="D9">
            <v>2</v>
          </cell>
        </row>
        <row r="10">
          <cell r="A10" t="str">
            <v>Coquimbo</v>
          </cell>
          <cell r="B10">
            <v>8</v>
          </cell>
          <cell r="C10">
            <v>3</v>
          </cell>
          <cell r="D10">
            <v>14</v>
          </cell>
        </row>
        <row r="11">
          <cell r="A11" t="str">
            <v>Coronel</v>
          </cell>
          <cell r="B11">
            <v>0</v>
          </cell>
          <cell r="C11">
            <v>1</v>
          </cell>
          <cell r="D11">
            <v>2</v>
          </cell>
        </row>
        <row r="12">
          <cell r="A12" t="str">
            <v>Iquique</v>
          </cell>
          <cell r="B12">
            <v>2</v>
          </cell>
          <cell r="C12">
            <v>31</v>
          </cell>
          <cell r="D12">
            <v>64</v>
          </cell>
        </row>
        <row r="13">
          <cell r="A13" t="str">
            <v>Lautaro</v>
          </cell>
          <cell r="B13">
            <v>3</v>
          </cell>
          <cell r="C13">
            <v>16</v>
          </cell>
          <cell r="D13">
            <v>35</v>
          </cell>
        </row>
        <row r="14">
          <cell r="A14" t="str">
            <v>Linares</v>
          </cell>
          <cell r="B14">
            <v>4</v>
          </cell>
          <cell r="C14">
            <v>1</v>
          </cell>
          <cell r="D14">
            <v>6</v>
          </cell>
        </row>
        <row r="15">
          <cell r="A15" t="str">
            <v>Los Ángeles</v>
          </cell>
          <cell r="B15">
            <v>3</v>
          </cell>
          <cell r="C15">
            <v>0</v>
          </cell>
          <cell r="D15">
            <v>3</v>
          </cell>
        </row>
        <row r="16">
          <cell r="A16" t="str">
            <v>Mejillones</v>
          </cell>
          <cell r="B16">
            <v>5</v>
          </cell>
          <cell r="C16">
            <v>49</v>
          </cell>
          <cell r="D16">
            <v>103</v>
          </cell>
        </row>
        <row r="17">
          <cell r="A17" t="str">
            <v>Osorno</v>
          </cell>
          <cell r="B17">
            <v>3</v>
          </cell>
          <cell r="C17">
            <v>0</v>
          </cell>
          <cell r="D17">
            <v>3</v>
          </cell>
        </row>
        <row r="18">
          <cell r="A18" t="str">
            <v>Ovalle</v>
          </cell>
          <cell r="B18">
            <v>1</v>
          </cell>
          <cell r="C18">
            <v>0</v>
          </cell>
          <cell r="D18">
            <v>1</v>
          </cell>
        </row>
        <row r="19">
          <cell r="A19" t="str">
            <v>Pichirropulli</v>
          </cell>
          <cell r="B19">
            <v>1</v>
          </cell>
          <cell r="C19">
            <v>0</v>
          </cell>
          <cell r="D19">
            <v>1</v>
          </cell>
        </row>
        <row r="20">
          <cell r="A20" t="str">
            <v>Puerto Aysen</v>
          </cell>
          <cell r="B20">
            <v>2</v>
          </cell>
          <cell r="C20">
            <v>4</v>
          </cell>
          <cell r="D20">
            <v>10</v>
          </cell>
        </row>
        <row r="21">
          <cell r="A21" t="str">
            <v>Puerto Montt</v>
          </cell>
          <cell r="B21">
            <v>3</v>
          </cell>
          <cell r="C21">
            <v>29</v>
          </cell>
          <cell r="D21">
            <v>61</v>
          </cell>
        </row>
        <row r="22">
          <cell r="A22" t="str">
            <v>Puerto Natales</v>
          </cell>
          <cell r="B22">
            <v>3</v>
          </cell>
          <cell r="C22">
            <v>0</v>
          </cell>
          <cell r="D22">
            <v>3</v>
          </cell>
        </row>
        <row r="23">
          <cell r="A23" t="str">
            <v>Puerto Williams</v>
          </cell>
          <cell r="B23">
            <v>1</v>
          </cell>
          <cell r="C23">
            <v>0</v>
          </cell>
          <cell r="D23">
            <v>1</v>
          </cell>
        </row>
        <row r="24">
          <cell r="A24" t="str">
            <v>Punta Arenas</v>
          </cell>
          <cell r="B24">
            <v>4</v>
          </cell>
          <cell r="C24">
            <v>12</v>
          </cell>
          <cell r="D24">
            <v>28</v>
          </cell>
        </row>
        <row r="25">
          <cell r="A25" t="str">
            <v>Romeral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San Antonio</v>
          </cell>
          <cell r="B26">
            <v>2</v>
          </cell>
          <cell r="C26">
            <v>1</v>
          </cell>
          <cell r="D26">
            <v>4</v>
          </cell>
        </row>
        <row r="27">
          <cell r="A27" t="str">
            <v>San Fernando</v>
          </cell>
          <cell r="B27">
            <v>1</v>
          </cell>
          <cell r="C27">
            <v>17</v>
          </cell>
          <cell r="D27">
            <v>35</v>
          </cell>
        </row>
        <row r="28">
          <cell r="A28" t="str">
            <v>San Vicente</v>
          </cell>
          <cell r="B28">
            <v>5</v>
          </cell>
          <cell r="C28">
            <v>33</v>
          </cell>
          <cell r="D28">
            <v>71</v>
          </cell>
        </row>
        <row r="29">
          <cell r="A29" t="str">
            <v>Santiago</v>
          </cell>
          <cell r="B29">
            <v>11</v>
          </cell>
          <cell r="C29">
            <v>90</v>
          </cell>
          <cell r="D29">
            <v>191</v>
          </cell>
        </row>
        <row r="30">
          <cell r="A30" t="str">
            <v>Talca</v>
          </cell>
          <cell r="B30">
            <v>0</v>
          </cell>
          <cell r="C30">
            <v>1</v>
          </cell>
          <cell r="D30">
            <v>2</v>
          </cell>
        </row>
        <row r="31">
          <cell r="A31" t="str">
            <v>Valdivia</v>
          </cell>
          <cell r="B31">
            <v>0</v>
          </cell>
          <cell r="C31">
            <v>1</v>
          </cell>
          <cell r="D31">
            <v>2</v>
          </cell>
        </row>
        <row r="32">
          <cell r="A32" t="str">
            <v>Valparaiso</v>
          </cell>
          <cell r="B32">
            <v>10</v>
          </cell>
          <cell r="C32">
            <v>58</v>
          </cell>
          <cell r="D32">
            <v>126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D4:AN149"/>
  <sheetViews>
    <sheetView showGridLines="0" tabSelected="1" topLeftCell="A4" zoomScale="70" zoomScaleNormal="70" workbookViewId="0">
      <selection activeCell="D33" sqref="D33"/>
    </sheetView>
  </sheetViews>
  <sheetFormatPr baseColWidth="10" defaultRowHeight="14.25"/>
  <cols>
    <col width="6.59765625" customWidth="1" min="1" max="1"/>
    <col width="2.59765625" customWidth="1" min="2" max="2"/>
    <col width="7.59765625" customWidth="1" min="3" max="3"/>
    <col width="7.3984375" customWidth="1" min="4" max="4"/>
    <col width="19" bestFit="1" customWidth="1" min="5" max="5"/>
    <col width="7.59765625" customWidth="1" min="6" max="6"/>
    <col width="13.33203125" bestFit="1" customWidth="1" min="7" max="7"/>
    <col width="4" bestFit="1" customWidth="1" min="8" max="8"/>
    <col width="3.1328125" customWidth="1" min="9" max="23"/>
    <col width="4.3984375" customWidth="1" min="24" max="24"/>
    <col width="3.1328125" customWidth="1" min="25" max="30"/>
    <col width="5" customWidth="1" min="31" max="31"/>
    <col width="3.1328125" customWidth="1" min="32" max="38"/>
    <col width="6.59765625" bestFit="1" customWidth="1" min="39" max="39"/>
  </cols>
  <sheetData>
    <row r="3" ht="14.65" customHeight="1" thickBot="1"/>
    <row r="4" ht="53.25" customFormat="1" customHeight="1" s="1">
      <c r="E4" s="2" t="inlineStr">
        <is>
          <t>Dia semana</t>
        </is>
      </c>
      <c r="F4" s="3" t="n"/>
      <c r="G4" s="3" t="n"/>
      <c r="H4" s="4">
        <f>TEXT(H5,"dddd")</f>
        <v/>
      </c>
      <c r="I4" s="4">
        <f>TEXT(I5,"dddd")</f>
        <v/>
      </c>
      <c r="J4" s="23">
        <f>TEXT(J5,"dddd")</f>
        <v/>
      </c>
      <c r="K4" s="23">
        <f>TEXT(K5,"dddd")</f>
        <v/>
      </c>
      <c r="L4" s="23">
        <f>TEXT(L5,"dddd")</f>
        <v/>
      </c>
      <c r="M4" s="25">
        <f>TEXT(M5,"dddd")</f>
        <v/>
      </c>
      <c r="N4" s="25">
        <f>TEXT(N5,"dddd")</f>
        <v/>
      </c>
      <c r="O4" s="23">
        <f>TEXT(O5,"dddd")</f>
        <v/>
      </c>
      <c r="P4" s="23">
        <f>TEXT(P5,"dddd")</f>
        <v/>
      </c>
      <c r="Q4" s="23">
        <f>TEXT(Q5,"dddd")</f>
        <v/>
      </c>
      <c r="R4" s="23">
        <f>TEXT(R5,"dddd")</f>
        <v/>
      </c>
      <c r="S4" s="23">
        <f>TEXT(S5,"dddd")</f>
        <v/>
      </c>
      <c r="T4" s="25">
        <f>TEXT(T5,"dddd")</f>
        <v/>
      </c>
      <c r="U4" s="25">
        <f>TEXT(U5,"dddd")</f>
        <v/>
      </c>
      <c r="V4" s="23">
        <f>TEXT(V5,"dddd")</f>
        <v/>
      </c>
      <c r="W4" s="23">
        <f>TEXT(W5,"dddd")</f>
        <v/>
      </c>
      <c r="X4" s="23">
        <f>TEXT(X5,"dddd")</f>
        <v/>
      </c>
      <c r="Y4" s="23">
        <f>TEXT(Y5,"dddd")</f>
        <v/>
      </c>
      <c r="Z4" s="23">
        <f>TEXT(Z5,"dddd")</f>
        <v/>
      </c>
      <c r="AA4" s="25">
        <f>TEXT(AA5,"dddd")</f>
        <v/>
      </c>
      <c r="AB4" s="25">
        <f>TEXT(AB5,"dddd")</f>
        <v/>
      </c>
      <c r="AC4" s="23">
        <f>TEXT(AC5,"dddd")</f>
        <v/>
      </c>
      <c r="AD4" s="23">
        <f>TEXT(AD5,"dddd")</f>
        <v/>
      </c>
      <c r="AE4" s="23">
        <f>TEXT(AE5,"dddd")</f>
        <v/>
      </c>
      <c r="AF4" s="23">
        <f>TEXT(AF5,"dddd")</f>
        <v/>
      </c>
      <c r="AG4" s="23">
        <f>TEXT(AG5,"dddd")</f>
        <v/>
      </c>
      <c r="AH4" s="25">
        <f>TEXT(AH5,"dddd")</f>
        <v/>
      </c>
      <c r="AI4" s="25">
        <f>TEXT(AI5,"dddd")</f>
        <v/>
      </c>
      <c r="AJ4" s="23">
        <f>TEXT(AJ5,"dddd")</f>
        <v/>
      </c>
      <c r="AK4" s="23">
        <f>TEXT(AK5,"dddd")</f>
        <v/>
      </c>
      <c r="AL4" s="24">
        <f>TEXT(AL5,"dddd")</f>
        <v/>
      </c>
      <c r="AM4" s="5" t="n"/>
    </row>
    <row r="5" ht="36.75" customFormat="1" customHeight="1" s="1">
      <c r="D5" s="29" t="inlineStr">
        <is>
          <t>Antofagasta</t>
        </is>
      </c>
      <c r="E5" s="30" t="n">
        <v>10</v>
      </c>
      <c r="F5" s="31" t="inlineStr">
        <is>
          <t>Orlando</t>
        </is>
      </c>
      <c r="G5" s="32" t="n">
        <v>1</v>
      </c>
      <c r="H5" s="33" t="n">
        <v>3</v>
      </c>
      <c r="I5" s="33" t="n">
        <v>3</v>
      </c>
      <c r="J5" s="33" t="n">
        <v>3</v>
      </c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8" t="n">
        <v>46057</v>
      </c>
      <c r="AM5" s="5" t="n"/>
    </row>
    <row r="6">
      <c r="D6" s="29" t="inlineStr">
        <is>
          <t>Arica</t>
        </is>
      </c>
      <c r="E6" s="30" t="n">
        <v>4</v>
      </c>
      <c r="F6" s="35" t="n">
        <v>4</v>
      </c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19" t="n"/>
      <c r="AM6" s="9" t="n"/>
    </row>
    <row r="7">
      <c r="D7" s="29" t="inlineStr">
        <is>
          <t>Calama</t>
        </is>
      </c>
      <c r="E7" s="37" t="n">
        <v>4</v>
      </c>
      <c r="F7" s="38" t="inlineStr">
        <is>
          <t>Orlando</t>
        </is>
      </c>
      <c r="G7" s="39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2" t="n">
        <v>1</v>
      </c>
      <c r="AA7" s="36" t="n"/>
      <c r="AB7" s="32" t="n">
        <v>3</v>
      </c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20" t="n">
        <v>28</v>
      </c>
      <c r="AM7" s="11" t="inlineStr">
        <is>
          <t>TOTAL</t>
        </is>
      </c>
    </row>
    <row r="8">
      <c r="D8" s="40" t="inlineStr">
        <is>
          <t>Chillan</t>
        </is>
      </c>
      <c r="E8" s="41" t="n">
        <v>7</v>
      </c>
      <c r="F8" s="38" t="inlineStr">
        <is>
          <t>Jimmy</t>
        </is>
      </c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3" t="n">
        <v>1</v>
      </c>
      <c r="AA8" s="42" t="n"/>
      <c r="AB8" s="43" t="n">
        <v>3</v>
      </c>
      <c r="AC8" s="43" t="n">
        <v>3</v>
      </c>
      <c r="AD8" s="42" t="n"/>
      <c r="AE8" s="42" t="n"/>
      <c r="AF8" s="42" t="n"/>
      <c r="AG8" s="42" t="n"/>
      <c r="AH8" s="42" t="n"/>
      <c r="AI8" s="42" t="n"/>
      <c r="AJ8" s="42" t="n"/>
      <c r="AK8" s="42" t="n"/>
      <c r="AL8" s="27" t="n"/>
      <c r="AM8" s="21">
        <f>SUM(H8:AL8)</f>
        <v/>
      </c>
      <c r="AN8">
        <f>AM8-F8</f>
        <v/>
      </c>
    </row>
    <row r="9">
      <c r="D9" s="29" t="inlineStr">
        <is>
          <t>Concepcion</t>
        </is>
      </c>
      <c r="E9" s="41" t="n">
        <v>13</v>
      </c>
      <c r="F9" s="38" t="inlineStr">
        <is>
          <t>Efrain</t>
        </is>
      </c>
      <c r="G9" s="42" t="n"/>
      <c r="H9" s="42" t="n"/>
      <c r="I9" s="42" t="n"/>
      <c r="J9" s="42" t="n"/>
      <c r="K9" s="42" t="n"/>
      <c r="L9" s="42" t="n"/>
      <c r="M9" s="42" t="n"/>
      <c r="N9" s="42" t="n"/>
      <c r="O9" s="44" t="n">
        <v>1</v>
      </c>
      <c r="P9" s="44" t="n">
        <v>3</v>
      </c>
      <c r="Q9" s="44" t="n">
        <v>3</v>
      </c>
      <c r="R9" s="44" t="n">
        <v>3</v>
      </c>
      <c r="S9" s="44" t="n">
        <v>3</v>
      </c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42" t="n"/>
      <c r="AI9" s="42" t="n"/>
      <c r="AJ9" s="42" t="n"/>
      <c r="AK9" s="42" t="n"/>
      <c r="AL9" s="27" t="n"/>
      <c r="AM9" s="21">
        <f>SUM(H9:AL9)</f>
        <v/>
      </c>
      <c r="AN9">
        <f>AM9-F9</f>
        <v/>
      </c>
    </row>
    <row r="10">
      <c r="D10" s="29" t="inlineStr">
        <is>
          <t>Concepcion</t>
        </is>
      </c>
      <c r="E10" s="41" t="n">
        <v>3</v>
      </c>
      <c r="F10" s="38" t="inlineStr">
        <is>
          <t>Jimmy</t>
        </is>
      </c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3" t="n">
        <v>3</v>
      </c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27" t="n"/>
      <c r="AM10" s="21">
        <f>SUM(H10:AL10)</f>
        <v/>
      </c>
      <c r="AN10">
        <f>AM10-F10</f>
        <v/>
      </c>
    </row>
    <row r="11">
      <c r="D11" s="29" t="inlineStr">
        <is>
          <t>Copiapo</t>
        </is>
      </c>
      <c r="E11" s="41" t="n">
        <v>8</v>
      </c>
      <c r="F11" s="45" t="n">
        <v>8</v>
      </c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6" t="n"/>
      <c r="Q11" s="46" t="n"/>
      <c r="R11" s="46" t="n"/>
      <c r="S11" s="46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27" t="n"/>
      <c r="AM11" s="21">
        <f>SUM(H11:AL11)</f>
        <v/>
      </c>
      <c r="AN11">
        <f>AM11-F11</f>
        <v/>
      </c>
    </row>
    <row r="12">
      <c r="D12" s="29" t="inlineStr">
        <is>
          <t>Coyhaique</t>
        </is>
      </c>
      <c r="E12" s="41" t="n">
        <v>1</v>
      </c>
      <c r="F12" s="45" t="n">
        <v>1</v>
      </c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6" t="n"/>
      <c r="T12" s="42" t="n"/>
      <c r="U12" s="42" t="n"/>
      <c r="V12" s="46" t="n"/>
      <c r="W12" s="46" t="n"/>
      <c r="X12" s="46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42" t="n"/>
      <c r="AJ12" s="42" t="n"/>
      <c r="AK12" s="42" t="n"/>
      <c r="AL12" s="27" t="n"/>
      <c r="AM12" s="21">
        <f>SUM(H12:AL12)</f>
        <v/>
      </c>
      <c r="AN12">
        <f>AM12-F12</f>
        <v/>
      </c>
    </row>
    <row r="13">
      <c r="D13" s="29" t="inlineStr">
        <is>
          <t>Iquique</t>
        </is>
      </c>
      <c r="E13" s="41" t="n">
        <v>4</v>
      </c>
      <c r="F13" s="38" t="inlineStr">
        <is>
          <t>Orlando</t>
        </is>
      </c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7" t="n">
        <v>1</v>
      </c>
      <c r="AD13" s="47" t="n">
        <v>3</v>
      </c>
      <c r="AE13" s="42" t="n"/>
      <c r="AF13" s="42" t="n"/>
      <c r="AG13" s="42" t="n"/>
      <c r="AH13" s="42" t="n"/>
      <c r="AI13" s="42" t="n"/>
      <c r="AJ13" s="42" t="n"/>
      <c r="AK13" s="42" t="n"/>
      <c r="AL13" s="27" t="n"/>
      <c r="AM13" s="21">
        <f>SUM(H13:AL13)</f>
        <v/>
      </c>
      <c r="AN13">
        <f>AM13-F13</f>
        <v/>
      </c>
    </row>
    <row r="14">
      <c r="D14" s="29" t="inlineStr">
        <is>
          <t>La Serena</t>
        </is>
      </c>
      <c r="E14" s="41" t="n">
        <v>13</v>
      </c>
      <c r="F14" s="38" t="inlineStr">
        <is>
          <t>Fabian D.</t>
        </is>
      </c>
      <c r="G14" s="48" t="n">
        <v>1</v>
      </c>
      <c r="H14" s="48" t="n">
        <v>3</v>
      </c>
      <c r="I14" s="48" t="n">
        <v>3</v>
      </c>
      <c r="J14" s="48" t="n">
        <v>3</v>
      </c>
      <c r="K14" s="48" t="n">
        <v>3</v>
      </c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27" t="n"/>
      <c r="AM14" s="21">
        <f>SUM(H14:AL14)</f>
        <v/>
      </c>
      <c r="AN14">
        <f>AM14-F14</f>
        <v/>
      </c>
    </row>
    <row r="15">
      <c r="D15" s="29" t="inlineStr">
        <is>
          <t>Los Angeles</t>
        </is>
      </c>
      <c r="E15" s="41" t="n">
        <v>8</v>
      </c>
      <c r="F15" s="38" t="inlineStr">
        <is>
          <t>Jimmy</t>
        </is>
      </c>
      <c r="G15" s="42" t="n"/>
      <c r="H15" s="42" t="n"/>
      <c r="I15" s="42" t="n"/>
      <c r="J15" s="42" t="n"/>
      <c r="K15" s="42" t="n"/>
      <c r="L15" s="42" t="n"/>
      <c r="M15" s="42" t="n"/>
      <c r="N15" s="42" t="n"/>
      <c r="O15" s="43" t="n">
        <v>2</v>
      </c>
      <c r="P15" s="42" t="n"/>
      <c r="Q15" s="42" t="n"/>
      <c r="R15" s="42" t="n"/>
      <c r="S15" s="42" t="n"/>
      <c r="T15" s="42" t="n"/>
      <c r="U15" s="42" t="n"/>
      <c r="V15" s="42" t="n"/>
      <c r="W15" s="43" t="n">
        <v>3</v>
      </c>
      <c r="X15" s="42" t="n"/>
      <c r="Y15" s="42" t="n"/>
      <c r="Z15" s="42" t="n"/>
      <c r="AA15" s="42" t="n"/>
      <c r="AB15" s="42" t="n"/>
      <c r="AC15" s="42" t="n"/>
      <c r="AD15" s="43" t="n">
        <v>3</v>
      </c>
      <c r="AE15" s="42" t="n"/>
      <c r="AF15" s="42" t="n"/>
      <c r="AG15" s="42" t="n"/>
      <c r="AH15" s="42" t="n"/>
      <c r="AI15" s="42" t="n"/>
      <c r="AJ15" s="42" t="n"/>
      <c r="AK15" s="42" t="n"/>
      <c r="AL15" s="27" t="n"/>
      <c r="AM15" s="21">
        <f>SUM(H15:AL15)</f>
        <v/>
      </c>
      <c r="AN15">
        <f>AM15-F15</f>
        <v/>
      </c>
    </row>
    <row r="16">
      <c r="D16" s="29" t="inlineStr">
        <is>
          <t>Osorno</t>
        </is>
      </c>
      <c r="E16" s="41" t="n">
        <v>8</v>
      </c>
      <c r="F16" s="45" t="n">
        <v>8</v>
      </c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27" t="n"/>
      <c r="AM16" s="21">
        <f>SUM(H16:AL16)</f>
        <v/>
      </c>
      <c r="AN16">
        <f>AM16-F16</f>
        <v/>
      </c>
    </row>
    <row r="17">
      <c r="D17" s="40" t="inlineStr">
        <is>
          <t>Puerto Montt</t>
        </is>
      </c>
      <c r="E17" s="41" t="n">
        <v>7</v>
      </c>
      <c r="F17" s="45" t="n">
        <v>7</v>
      </c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27" t="n"/>
      <c r="AM17" s="21">
        <f>SUM(H17:AL17)</f>
        <v/>
      </c>
      <c r="AN17">
        <f>AM17-F17</f>
        <v/>
      </c>
    </row>
    <row r="18">
      <c r="D18" s="40" t="inlineStr">
        <is>
          <t>Punta Arenas</t>
        </is>
      </c>
      <c r="E18" s="41" t="n">
        <v>3</v>
      </c>
      <c r="F18" s="45" t="n">
        <v>3</v>
      </c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2" t="n"/>
      <c r="AG18" s="42" t="n"/>
      <c r="AH18" s="42" t="n"/>
      <c r="AI18" s="42" t="n"/>
      <c r="AJ18" s="42" t="n"/>
      <c r="AK18" s="42" t="n"/>
      <c r="AL18" s="27" t="n"/>
      <c r="AM18" s="21">
        <f>SUM(H18:AL18)</f>
        <v/>
      </c>
      <c r="AN18">
        <f>AM18-F18</f>
        <v/>
      </c>
    </row>
    <row r="19">
      <c r="D19" s="40" t="inlineStr">
        <is>
          <t>Rancagua</t>
        </is>
      </c>
      <c r="E19" s="41" t="n">
        <v>6</v>
      </c>
      <c r="F19" s="38" t="inlineStr">
        <is>
          <t>Carlos</t>
        </is>
      </c>
      <c r="G19" s="49" t="n">
        <v>3</v>
      </c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9" t="n">
        <v>3</v>
      </c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27" t="n"/>
      <c r="AM19" s="21">
        <f>SUM(H19:AL19)</f>
        <v/>
      </c>
      <c r="AN19">
        <f>AM19-F19</f>
        <v/>
      </c>
    </row>
    <row r="20">
      <c r="D20" s="40" t="inlineStr">
        <is>
          <t>Rancagua</t>
        </is>
      </c>
      <c r="E20" s="41" t="n">
        <v>1</v>
      </c>
      <c r="F20" s="45" t="n">
        <v>1</v>
      </c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27" t="n"/>
      <c r="AM20" s="21">
        <f>SUM(H20:AL20)</f>
        <v/>
      </c>
      <c r="AN20">
        <f>AM20-F20</f>
        <v/>
      </c>
    </row>
    <row r="21">
      <c r="D21" s="40" t="inlineStr">
        <is>
          <t>Rancagua</t>
        </is>
      </c>
      <c r="E21" s="41" t="n">
        <v>3</v>
      </c>
      <c r="F21" s="38" t="inlineStr">
        <is>
          <t>Jimmy</t>
        </is>
      </c>
      <c r="G21" s="42" t="n"/>
      <c r="H21" s="42" t="n"/>
      <c r="I21" s="42" t="n"/>
      <c r="J21" s="42" t="n"/>
      <c r="K21" s="43" t="n">
        <v>3</v>
      </c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27" t="n"/>
      <c r="AM21" s="21">
        <f>SUM(H21:AL21)</f>
        <v/>
      </c>
      <c r="AN21">
        <f>AM21-F21</f>
        <v/>
      </c>
    </row>
    <row r="22">
      <c r="D22" s="40" t="inlineStr">
        <is>
          <t>San Antonio</t>
        </is>
      </c>
      <c r="E22" s="41" t="n">
        <v>5</v>
      </c>
      <c r="F22" s="38" t="inlineStr">
        <is>
          <t>Carlos</t>
        </is>
      </c>
      <c r="G22" s="42" t="n"/>
      <c r="H22" s="42" t="n"/>
      <c r="I22" s="42" t="n"/>
      <c r="J22" s="49" t="n">
        <v>2</v>
      </c>
      <c r="K22" s="49" t="n">
        <v>3</v>
      </c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27" t="n"/>
      <c r="AM22" s="21">
        <f>SUM(H22:AL22)</f>
        <v/>
      </c>
      <c r="AN22">
        <f>AM22-F22</f>
        <v/>
      </c>
    </row>
    <row r="23">
      <c r="D23" s="40" t="inlineStr">
        <is>
          <t>San Felipe</t>
        </is>
      </c>
      <c r="E23" s="41" t="n">
        <v>3</v>
      </c>
      <c r="F23" s="38" t="inlineStr">
        <is>
          <t>Efrain</t>
        </is>
      </c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4" t="n">
        <v>3</v>
      </c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27" t="n"/>
      <c r="AM23" s="21">
        <f>SUM(H23:AL23)</f>
        <v/>
      </c>
      <c r="AN23">
        <f>AM23-F23</f>
        <v/>
      </c>
    </row>
    <row r="24">
      <c r="D24" s="50" t="inlineStr">
        <is>
          <t>San Felipe</t>
        </is>
      </c>
      <c r="E24" s="41" t="n">
        <v>2</v>
      </c>
      <c r="F24" s="38" t="inlineStr">
        <is>
          <t>Fabian D.</t>
        </is>
      </c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8" t="n">
        <v>2</v>
      </c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27" t="n"/>
      <c r="AM24" s="21">
        <f>SUM(H24:AL24)</f>
        <v/>
      </c>
      <c r="AN24">
        <f>AM24-F24</f>
        <v/>
      </c>
    </row>
    <row r="25">
      <c r="D25" s="40" t="inlineStr">
        <is>
          <t>San Fernando</t>
        </is>
      </c>
      <c r="E25" s="41" t="n">
        <v>3</v>
      </c>
      <c r="F25" s="38" t="inlineStr">
        <is>
          <t>Carlos</t>
        </is>
      </c>
      <c r="G25" s="42" t="n"/>
      <c r="H25" s="46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9" t="n">
        <v>3</v>
      </c>
      <c r="W25" s="51" t="n"/>
      <c r="X25" s="51" t="n"/>
      <c r="Y25" s="51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27" t="n"/>
      <c r="AM25" s="21">
        <f>SUM(I25:AL25)</f>
        <v/>
      </c>
      <c r="AN25">
        <f>AM25-F25</f>
        <v/>
      </c>
    </row>
    <row r="26">
      <c r="D26" s="40" t="inlineStr">
        <is>
          <t>San Fernando</t>
        </is>
      </c>
      <c r="E26" s="41" t="n">
        <v>3</v>
      </c>
      <c r="F26" s="38" t="inlineStr">
        <is>
          <t>Efrain</t>
        </is>
      </c>
      <c r="G26" s="42" t="n"/>
      <c r="H26" s="44" t="n">
        <v>3</v>
      </c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27" t="n"/>
      <c r="AM26" s="21">
        <f>SUM(H26:AL26)</f>
        <v/>
      </c>
      <c r="AN26">
        <f>AM26-F26</f>
        <v/>
      </c>
    </row>
    <row r="27">
      <c r="D27" s="40" t="inlineStr">
        <is>
          <t>San Fernando</t>
        </is>
      </c>
      <c r="E27" s="41" t="n">
        <v>1</v>
      </c>
      <c r="F27" s="45" t="n">
        <v>1</v>
      </c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27" t="n"/>
      <c r="AM27" s="21">
        <f>SUM(H27:AL27)</f>
        <v/>
      </c>
      <c r="AN27">
        <f>AM27-F27</f>
        <v/>
      </c>
    </row>
    <row r="28">
      <c r="D28" s="40" t="inlineStr">
        <is>
          <t>San Fernando</t>
        </is>
      </c>
      <c r="E28" s="41" t="n">
        <v>6</v>
      </c>
      <c r="F28" s="38" t="inlineStr">
        <is>
          <t>Jimmy</t>
        </is>
      </c>
      <c r="G28" s="42" t="n"/>
      <c r="H28" s="42" t="n"/>
      <c r="I28" s="42" t="n"/>
      <c r="J28" s="43" t="n">
        <v>3</v>
      </c>
      <c r="K28" s="42" t="n"/>
      <c r="L28" s="43" t="n">
        <v>3</v>
      </c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27" t="n"/>
      <c r="AM28" s="21">
        <f>SUM(H28:AL28)</f>
        <v/>
      </c>
      <c r="AN28">
        <f>AM28-F28</f>
        <v/>
      </c>
    </row>
    <row r="29">
      <c r="D29" s="40" t="inlineStr">
        <is>
          <t>San Fernando</t>
        </is>
      </c>
      <c r="E29" s="41" t="n">
        <v>3</v>
      </c>
      <c r="F29" s="38" t="inlineStr">
        <is>
          <t>Luis</t>
        </is>
      </c>
      <c r="G29" s="42" t="n"/>
      <c r="H29" s="42" t="n"/>
      <c r="I29" s="42" t="n"/>
      <c r="J29" s="42" t="n"/>
      <c r="K29" s="52" t="n">
        <v>3</v>
      </c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27" t="n"/>
      <c r="AM29" s="21">
        <f>SUM(H29:AL29)</f>
        <v/>
      </c>
      <c r="AN29">
        <f>AM29-F29</f>
        <v/>
      </c>
    </row>
    <row r="30">
      <c r="D30" s="40" t="inlineStr">
        <is>
          <t>Santiago</t>
        </is>
      </c>
      <c r="E30" s="41" t="n">
        <v>39</v>
      </c>
      <c r="F30" s="38" t="inlineStr">
        <is>
          <t>Carlos</t>
        </is>
      </c>
      <c r="G30" s="42" t="n"/>
      <c r="H30" s="42" t="n"/>
      <c r="I30" s="42" t="n"/>
      <c r="J30" s="42" t="n"/>
      <c r="K30" s="42" t="n"/>
      <c r="L30" s="49" t="n">
        <v>3</v>
      </c>
      <c r="M30" s="42" t="n"/>
      <c r="N30" s="49" t="n">
        <v>3</v>
      </c>
      <c r="O30" s="49" t="n">
        <v>3</v>
      </c>
      <c r="P30" s="49" t="n">
        <v>3</v>
      </c>
      <c r="Q30" s="49" t="n">
        <v>3</v>
      </c>
      <c r="R30" s="49" t="n">
        <v>3</v>
      </c>
      <c r="S30" s="49" t="n">
        <v>3</v>
      </c>
      <c r="T30" s="42" t="n"/>
      <c r="U30" s="49" t="n">
        <v>3</v>
      </c>
      <c r="V30" s="42" t="n"/>
      <c r="W30" s="42" t="n"/>
      <c r="X30" s="42" t="n"/>
      <c r="Y30" s="49" t="n">
        <v>3</v>
      </c>
      <c r="Z30" s="49" t="n">
        <v>3</v>
      </c>
      <c r="AA30" s="42" t="n"/>
      <c r="AB30" s="49" t="n">
        <v>3</v>
      </c>
      <c r="AC30" s="49" t="n">
        <v>3</v>
      </c>
      <c r="AD30" s="49" t="n">
        <v>3</v>
      </c>
      <c r="AE30" s="42" t="n"/>
      <c r="AF30" s="42" t="n"/>
      <c r="AG30" s="42" t="n"/>
      <c r="AH30" s="42" t="n"/>
      <c r="AI30" s="42" t="n"/>
      <c r="AJ30" s="42" t="n"/>
      <c r="AK30" s="42" t="n"/>
      <c r="AL30" s="27" t="n"/>
      <c r="AM30" s="21">
        <f>SUM(H30:AL30)</f>
        <v/>
      </c>
      <c r="AN30">
        <f>AM30-F30</f>
        <v/>
      </c>
    </row>
    <row r="31">
      <c r="D31" s="40" t="inlineStr">
        <is>
          <t>Santiago</t>
        </is>
      </c>
      <c r="E31" s="41" t="n">
        <v>18</v>
      </c>
      <c r="F31" s="38" t="inlineStr">
        <is>
          <t>Efrain</t>
        </is>
      </c>
      <c r="G31" s="44" t="n">
        <v>3</v>
      </c>
      <c r="H31" s="42" t="n"/>
      <c r="I31" s="44" t="n">
        <v>3</v>
      </c>
      <c r="J31" s="44" t="n">
        <v>3</v>
      </c>
      <c r="K31" s="44" t="n">
        <v>3</v>
      </c>
      <c r="L31" s="44" t="n">
        <v>3</v>
      </c>
      <c r="M31" s="42" t="n"/>
      <c r="N31" s="44" t="n">
        <v>3</v>
      </c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27" t="n"/>
      <c r="AM31" s="21">
        <f>SUM(H31:AL31)</f>
        <v/>
      </c>
      <c r="AN31">
        <f>AM31-F31</f>
        <v/>
      </c>
    </row>
    <row r="32">
      <c r="D32" s="40" t="inlineStr">
        <is>
          <t>Santiago</t>
        </is>
      </c>
      <c r="E32" s="41" t="n">
        <v>42</v>
      </c>
      <c r="F32" s="38" t="inlineStr">
        <is>
          <t>Fabian D.</t>
        </is>
      </c>
      <c r="G32" s="42" t="n"/>
      <c r="H32" s="42" t="n"/>
      <c r="I32" s="42" t="n"/>
      <c r="J32" s="42" t="n"/>
      <c r="K32" s="42" t="n"/>
      <c r="L32" s="42" t="n"/>
      <c r="M32" s="42" t="n"/>
      <c r="N32" s="48" t="n">
        <v>3</v>
      </c>
      <c r="O32" s="48" t="n">
        <v>3</v>
      </c>
      <c r="P32" s="42" t="n"/>
      <c r="Q32" s="48" t="n">
        <v>3</v>
      </c>
      <c r="R32" s="48" t="n">
        <v>3</v>
      </c>
      <c r="S32" s="48" t="n">
        <v>3</v>
      </c>
      <c r="T32" s="42" t="n"/>
      <c r="U32" s="48" t="n">
        <v>3</v>
      </c>
      <c r="V32" s="48" t="n">
        <v>3</v>
      </c>
      <c r="W32" s="48" t="n">
        <v>3</v>
      </c>
      <c r="X32" s="48" t="n">
        <v>3</v>
      </c>
      <c r="Y32" s="48" t="n">
        <v>3</v>
      </c>
      <c r="Z32" s="48" t="n">
        <v>3</v>
      </c>
      <c r="AA32" s="42" t="n"/>
      <c r="AB32" s="48" t="n">
        <v>3</v>
      </c>
      <c r="AC32" s="48" t="n">
        <v>3</v>
      </c>
      <c r="AD32" s="48" t="n">
        <v>3</v>
      </c>
      <c r="AE32" s="42" t="n"/>
      <c r="AF32" s="42" t="n"/>
      <c r="AG32" s="42" t="n"/>
      <c r="AH32" s="42" t="n"/>
      <c r="AI32" s="42" t="n"/>
      <c r="AJ32" s="42" t="n"/>
      <c r="AK32" s="42" t="n"/>
      <c r="AL32" s="27" t="n"/>
      <c r="AM32" s="21">
        <f>SUM(H32:AL32)</f>
        <v/>
      </c>
      <c r="AN32">
        <f>AM32-F32</f>
        <v/>
      </c>
    </row>
    <row r="33">
      <c r="D33" s="40" t="inlineStr">
        <is>
          <t>Santiago</t>
        </is>
      </c>
      <c r="E33" s="41" t="n">
        <v>36</v>
      </c>
      <c r="F33" s="38" t="inlineStr">
        <is>
          <t>Wilmer</t>
        </is>
      </c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53" t="n">
        <v>3</v>
      </c>
      <c r="R33" s="53" t="n">
        <v>3</v>
      </c>
      <c r="S33" s="53" t="n">
        <v>3</v>
      </c>
      <c r="T33" s="42" t="n"/>
      <c r="U33" s="53" t="n">
        <v>3</v>
      </c>
      <c r="V33" s="53" t="n">
        <v>3</v>
      </c>
      <c r="W33" s="53" t="n">
        <v>3</v>
      </c>
      <c r="X33" s="53" t="n">
        <v>3</v>
      </c>
      <c r="Y33" s="53" t="n">
        <v>3</v>
      </c>
      <c r="Z33" s="53" t="n">
        <v>3</v>
      </c>
      <c r="AA33" s="42" t="n"/>
      <c r="AB33" s="53" t="n">
        <v>3</v>
      </c>
      <c r="AC33" s="53" t="n">
        <v>3</v>
      </c>
      <c r="AD33" s="53" t="n">
        <v>3</v>
      </c>
      <c r="AE33" s="42" t="n"/>
      <c r="AF33" s="42" t="n"/>
      <c r="AG33" s="42" t="n"/>
      <c r="AH33" s="42" t="n"/>
      <c r="AI33" s="42" t="n"/>
      <c r="AJ33" s="42" t="n"/>
      <c r="AK33" s="42" t="n"/>
      <c r="AL33" s="27" t="n"/>
      <c r="AM33" s="21">
        <f>SUM(H33:AL33)</f>
        <v/>
      </c>
      <c r="AN33">
        <f>AM33-F33</f>
        <v/>
      </c>
    </row>
    <row r="34">
      <c r="D34" s="40" t="inlineStr">
        <is>
          <t>Talca</t>
        </is>
      </c>
      <c r="E34" s="41" t="n">
        <v>9</v>
      </c>
      <c r="F34" s="38" t="inlineStr">
        <is>
          <t>Carlos</t>
        </is>
      </c>
      <c r="G34" s="42" t="n"/>
      <c r="H34" s="49" t="n">
        <v>3</v>
      </c>
      <c r="I34" s="49" t="n">
        <v>3</v>
      </c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9" t="n">
        <v>3</v>
      </c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27" t="n"/>
      <c r="AM34" s="21">
        <f>SUM(H34:AL34)</f>
        <v/>
      </c>
      <c r="AN34">
        <f>AM34-F34</f>
        <v/>
      </c>
    </row>
    <row r="35" hidden="1">
      <c r="D35" s="40" t="inlineStr">
        <is>
          <t>Temuco</t>
        </is>
      </c>
      <c r="E35" s="41" t="n">
        <v>15</v>
      </c>
      <c r="F35" s="38" t="inlineStr">
        <is>
          <t>Jimmy</t>
        </is>
      </c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3" t="n">
        <v>3</v>
      </c>
      <c r="Q35" s="43" t="n">
        <v>3</v>
      </c>
      <c r="R35" s="43" t="n">
        <v>3</v>
      </c>
      <c r="S35" s="43" t="n">
        <v>3</v>
      </c>
      <c r="T35" s="43" t="n">
        <v>0</v>
      </c>
      <c r="U35" s="43" t="n">
        <v>3</v>
      </c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27" t="n"/>
      <c r="AM35" s="21">
        <f>SUM(H35:AL35)</f>
        <v/>
      </c>
      <c r="AN35">
        <f>AM35-F35</f>
        <v/>
      </c>
    </row>
    <row r="36" hidden="1">
      <c r="D36" s="40" t="inlineStr">
        <is>
          <t>Viña del Mar</t>
        </is>
      </c>
      <c r="E36" s="41" t="n">
        <v>23</v>
      </c>
      <c r="F36" s="38" t="inlineStr">
        <is>
          <t>Efrain</t>
        </is>
      </c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4" t="n">
        <v>3</v>
      </c>
      <c r="V36" s="44" t="n">
        <v>3</v>
      </c>
      <c r="W36" s="44" t="n">
        <v>3</v>
      </c>
      <c r="X36" s="44" t="n">
        <v>3</v>
      </c>
      <c r="Y36" s="44" t="n">
        <v>2</v>
      </c>
      <c r="Z36" s="44" t="n">
        <v>3</v>
      </c>
      <c r="AA36" s="42" t="n"/>
      <c r="AB36" s="42" t="n"/>
      <c r="AC36" s="44" t="n">
        <v>3</v>
      </c>
      <c r="AD36" s="44" t="n">
        <v>3</v>
      </c>
      <c r="AE36" s="42" t="n"/>
      <c r="AF36" s="42" t="n"/>
      <c r="AG36" s="42" t="n"/>
      <c r="AH36" s="42" t="n"/>
      <c r="AI36" s="42" t="n"/>
      <c r="AJ36" s="42" t="n"/>
      <c r="AK36" s="42" t="n"/>
      <c r="AL36" s="27" t="n"/>
      <c r="AM36" s="21">
        <f>SUM(H36:AL36)</f>
        <v/>
      </c>
      <c r="AN36">
        <f>AM36-F36</f>
        <v/>
      </c>
    </row>
    <row r="37" hidden="1">
      <c r="D37" s="40" t="inlineStr">
        <is>
          <t>Viña del Mar</t>
        </is>
      </c>
      <c r="E37" s="41" t="n">
        <v>3</v>
      </c>
      <c r="F37" s="38" t="inlineStr">
        <is>
          <t>Fabian D.</t>
        </is>
      </c>
      <c r="G37" s="42" t="n"/>
      <c r="H37" s="42" t="n"/>
      <c r="I37" s="42" t="n"/>
      <c r="J37" s="42" t="n"/>
      <c r="K37" s="42" t="n"/>
      <c r="L37" s="48" t="n">
        <v>3</v>
      </c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27" t="n"/>
      <c r="AM37" s="21">
        <f>SUM(H37:AL37)</f>
        <v/>
      </c>
      <c r="AN37">
        <f>AM37-F37</f>
        <v/>
      </c>
    </row>
    <row r="38" hidden="1">
      <c r="D38" s="10" t="n"/>
      <c r="F38" s="11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  <c r="AI38" s="42" t="n"/>
      <c r="AJ38" s="42" t="n"/>
      <c r="AK38" s="42" t="n"/>
      <c r="AL38" s="27" t="n"/>
      <c r="AM38" s="21">
        <f>SUM(H38:AL38)</f>
        <v/>
      </c>
      <c r="AN38">
        <f>AM38-F38</f>
        <v/>
      </c>
    </row>
    <row r="39" hidden="1">
      <c r="D39" s="10" t="n"/>
      <c r="F39" s="11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27" t="n"/>
      <c r="AM39" s="21">
        <f>SUM(H39:AL39)</f>
        <v/>
      </c>
      <c r="AN39">
        <f>AM39-F39</f>
        <v/>
      </c>
    </row>
    <row r="40" hidden="1">
      <c r="D40" s="10" t="n"/>
      <c r="F40" s="11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42" t="n"/>
      <c r="AF40" s="42" t="n"/>
      <c r="AG40" s="42" t="n"/>
      <c r="AH40" s="42" t="n"/>
      <c r="AI40" s="42" t="n"/>
      <c r="AJ40" s="42" t="n"/>
      <c r="AK40" s="42" t="n"/>
      <c r="AL40" s="27" t="n"/>
      <c r="AM40" s="21">
        <f>SUM(H40:AL40)</f>
        <v/>
      </c>
      <c r="AN40">
        <f>AM40-F40</f>
        <v/>
      </c>
    </row>
    <row r="41" hidden="1">
      <c r="D41" s="10" t="n"/>
      <c r="F41" s="11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27" t="n"/>
      <c r="AM41" s="21">
        <f>SUM(H41:AL41)</f>
        <v/>
      </c>
      <c r="AN41">
        <f>AM41-F41</f>
        <v/>
      </c>
    </row>
    <row r="42" hidden="1">
      <c r="E42" s="14" t="n"/>
      <c r="F42" s="14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39" t="n"/>
      <c r="AI42" s="39" t="n"/>
      <c r="AJ42" s="39" t="n"/>
      <c r="AK42" s="39" t="n"/>
      <c r="AL42" s="14">
        <f>+SUM(AL8:AL41)</f>
        <v/>
      </c>
      <c r="AM42" s="14">
        <f>+SUM(AM7:AM41)</f>
        <v/>
      </c>
    </row>
    <row r="43"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</row>
    <row r="44"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</row>
    <row r="45"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</row>
    <row r="46"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</row>
    <row r="47"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</row>
    <row r="48"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</row>
    <row r="49"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6" t="n"/>
      <c r="AK49" s="46" t="n"/>
    </row>
    <row r="50"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46" t="n"/>
      <c r="AI50" s="46" t="n"/>
      <c r="AJ50" s="46" t="n"/>
      <c r="AK50" s="46" t="n"/>
    </row>
    <row r="51"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</row>
    <row r="52"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</row>
    <row r="53"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6" t="n"/>
      <c r="AK53" s="46" t="n"/>
    </row>
    <row r="54"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6" t="n"/>
      <c r="AK54" s="46" t="n"/>
    </row>
    <row r="55"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6" t="n"/>
      <c r="AI55" s="46" t="n"/>
      <c r="AJ55" s="46" t="n"/>
      <c r="AK55" s="46" t="n"/>
    </row>
    <row r="56"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6" t="n"/>
      <c r="AI56" s="46" t="n"/>
      <c r="AJ56" s="46" t="n"/>
      <c r="AK56" s="46" t="n"/>
    </row>
    <row r="57"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  <c r="AH57" s="46" t="n"/>
      <c r="AI57" s="46" t="n"/>
      <c r="AJ57" s="46" t="n"/>
      <c r="AK57" s="46" t="n"/>
    </row>
    <row r="58"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  <c r="AH58" s="46" t="n"/>
      <c r="AI58" s="46" t="n"/>
      <c r="AJ58" s="46" t="n"/>
      <c r="AK58" s="46" t="n"/>
    </row>
    <row r="59"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  <c r="AH59" s="46" t="n"/>
      <c r="AI59" s="46" t="n"/>
      <c r="AJ59" s="46" t="n"/>
      <c r="AK59" s="46" t="n"/>
    </row>
    <row r="60"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6" t="n"/>
      <c r="AI60" s="46" t="n"/>
      <c r="AJ60" s="46" t="n"/>
      <c r="AK60" s="46" t="n"/>
    </row>
    <row r="61"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6" t="n"/>
      <c r="AI61" s="46" t="n"/>
      <c r="AJ61" s="46" t="n"/>
      <c r="AK61" s="46" t="n"/>
    </row>
    <row r="62"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  <c r="AH62" s="46" t="n"/>
      <c r="AI62" s="46" t="n"/>
      <c r="AJ62" s="46" t="n"/>
      <c r="AK62" s="46" t="n"/>
    </row>
    <row r="63"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  <c r="AH63" s="46" t="n"/>
      <c r="AI63" s="46" t="n"/>
      <c r="AJ63" s="46" t="n"/>
      <c r="AK63" s="46" t="n"/>
    </row>
    <row r="64"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  <c r="AH64" s="46" t="n"/>
      <c r="AI64" s="46" t="n"/>
      <c r="AJ64" s="46" t="n"/>
      <c r="AK64" s="46" t="n"/>
    </row>
    <row r="65"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6" t="n"/>
      <c r="AI65" s="46" t="n"/>
      <c r="AJ65" s="46" t="n"/>
      <c r="AK65" s="46" t="n"/>
    </row>
    <row r="66"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6" t="n"/>
      <c r="AI66" s="46" t="n"/>
      <c r="AJ66" s="46" t="n"/>
      <c r="AK66" s="46" t="n"/>
    </row>
    <row r="67"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6" t="n"/>
      <c r="AI67" s="46" t="n"/>
      <c r="AJ67" s="46" t="n"/>
      <c r="AK67" s="46" t="n"/>
    </row>
    <row r="68"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  <c r="AH68" s="46" t="n"/>
      <c r="AI68" s="46" t="n"/>
      <c r="AJ68" s="46" t="n"/>
      <c r="AK68" s="46" t="n"/>
    </row>
    <row r="69"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</row>
    <row r="70"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</row>
    <row r="71"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</row>
    <row r="72"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</row>
    <row r="73"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  <c r="AH73" s="46" t="n"/>
      <c r="AI73" s="46" t="n"/>
      <c r="AJ73" s="46" t="n"/>
      <c r="AK73" s="46" t="n"/>
    </row>
    <row r="74"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  <c r="AH74" s="46" t="n"/>
      <c r="AI74" s="46" t="n"/>
      <c r="AJ74" s="46" t="n"/>
      <c r="AK74" s="46" t="n"/>
    </row>
    <row r="75"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6" t="n"/>
      <c r="AI75" s="46" t="n"/>
      <c r="AJ75" s="46" t="n"/>
      <c r="AK75" s="46" t="n"/>
    </row>
    <row r="76"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6" t="n"/>
      <c r="AI76" s="46" t="n"/>
      <c r="AJ76" s="46" t="n"/>
      <c r="AK76" s="46" t="n"/>
    </row>
    <row r="77"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6" t="n"/>
      <c r="AI77" s="46" t="n"/>
      <c r="AJ77" s="46" t="n"/>
      <c r="AK77" s="46" t="n"/>
    </row>
    <row r="78"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6" t="n"/>
      <c r="AI78" s="46" t="n"/>
      <c r="AJ78" s="46" t="n"/>
      <c r="AK78" s="46" t="n"/>
    </row>
    <row r="79"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6" t="n"/>
      <c r="AI79" s="46" t="n"/>
      <c r="AJ79" s="46" t="n"/>
      <c r="AK79" s="46" t="n"/>
    </row>
    <row r="80"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46" t="n"/>
      <c r="AJ80" s="46" t="n"/>
      <c r="AK80" s="46" t="n"/>
    </row>
    <row r="81"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6" t="n"/>
      <c r="AI81" s="46" t="n"/>
      <c r="AJ81" s="46" t="n"/>
      <c r="AK81" s="46" t="n"/>
    </row>
    <row r="82"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  <c r="AH82" s="46" t="n"/>
      <c r="AI82" s="46" t="n"/>
      <c r="AJ82" s="46" t="n"/>
      <c r="AK82" s="46" t="n"/>
    </row>
    <row r="83"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  <c r="AH83" s="46" t="n"/>
      <c r="AI83" s="46" t="n"/>
      <c r="AJ83" s="46" t="n"/>
      <c r="AK83" s="46" t="n"/>
    </row>
    <row r="84"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  <c r="AH84" s="46" t="n"/>
      <c r="AI84" s="46" t="n"/>
      <c r="AJ84" s="46" t="n"/>
      <c r="AK84" s="46" t="n"/>
    </row>
    <row r="85"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  <c r="AH85" s="46" t="n"/>
      <c r="AI85" s="46" t="n"/>
      <c r="AJ85" s="46" t="n"/>
      <c r="AK85" s="46" t="n"/>
    </row>
    <row r="86"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  <c r="AH86" s="46" t="n"/>
      <c r="AI86" s="46" t="n"/>
      <c r="AJ86" s="46" t="n"/>
      <c r="AK86" s="46" t="n"/>
    </row>
    <row r="87"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  <c r="AH87" s="46" t="n"/>
      <c r="AI87" s="46" t="n"/>
      <c r="AJ87" s="46" t="n"/>
      <c r="AK87" s="46" t="n"/>
    </row>
    <row r="88"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</row>
    <row r="89"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  <c r="AH89" s="46" t="n"/>
      <c r="AI89" s="46" t="n"/>
      <c r="AJ89" s="46" t="n"/>
      <c r="AK89" s="46" t="n"/>
    </row>
    <row r="90"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  <c r="AH90" s="46" t="n"/>
      <c r="AI90" s="46" t="n"/>
      <c r="AJ90" s="46" t="n"/>
      <c r="AK90" s="46" t="n"/>
    </row>
    <row r="91"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  <c r="AH91" s="46" t="n"/>
      <c r="AI91" s="46" t="n"/>
      <c r="AJ91" s="46" t="n"/>
      <c r="AK91" s="46" t="n"/>
    </row>
    <row r="92"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  <c r="AH92" s="46" t="n"/>
      <c r="AI92" s="46" t="n"/>
      <c r="AJ92" s="46" t="n"/>
      <c r="AK92" s="46" t="n"/>
    </row>
    <row r="93"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  <c r="AH93" s="46" t="n"/>
      <c r="AI93" s="46" t="n"/>
      <c r="AJ93" s="46" t="n"/>
      <c r="AK93" s="46" t="n"/>
    </row>
    <row r="94"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  <c r="AH94" s="46" t="n"/>
      <c r="AI94" s="46" t="n"/>
      <c r="AJ94" s="46" t="n"/>
      <c r="AK94" s="46" t="n"/>
    </row>
    <row r="95"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  <c r="AH95" s="46" t="n"/>
      <c r="AI95" s="46" t="n"/>
      <c r="AJ95" s="46" t="n"/>
      <c r="AK95" s="46" t="n"/>
    </row>
    <row r="96"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  <c r="AH96" s="46" t="n"/>
      <c r="AI96" s="46" t="n"/>
      <c r="AJ96" s="46" t="n"/>
      <c r="AK96" s="46" t="n"/>
    </row>
    <row r="97"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  <c r="AH97" s="46" t="n"/>
      <c r="AI97" s="46" t="n"/>
      <c r="AJ97" s="46" t="n"/>
      <c r="AK97" s="46" t="n"/>
    </row>
    <row r="98"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  <c r="AH98" s="46" t="n"/>
      <c r="AI98" s="46" t="n"/>
      <c r="AJ98" s="46" t="n"/>
      <c r="AK98" s="46" t="n"/>
    </row>
    <row r="99"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  <c r="AH99" s="46" t="n"/>
      <c r="AI99" s="46" t="n"/>
      <c r="AJ99" s="46" t="n"/>
      <c r="AK99" s="46" t="n"/>
    </row>
    <row r="100"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  <c r="AH100" s="46" t="n"/>
      <c r="AI100" s="46" t="n"/>
      <c r="AJ100" s="46" t="n"/>
      <c r="AK100" s="46" t="n"/>
    </row>
    <row r="101"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  <c r="AH101" s="46" t="n"/>
      <c r="AI101" s="46" t="n"/>
      <c r="AJ101" s="46" t="n"/>
      <c r="AK101" s="46" t="n"/>
    </row>
    <row r="102"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  <c r="AH102" s="46" t="n"/>
      <c r="AI102" s="46" t="n"/>
      <c r="AJ102" s="46" t="n"/>
      <c r="AK102" s="46" t="n"/>
    </row>
    <row r="103"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  <c r="AH103" s="46" t="n"/>
      <c r="AI103" s="46" t="n"/>
      <c r="AJ103" s="46" t="n"/>
      <c r="AK103" s="46" t="n"/>
    </row>
    <row r="104"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  <c r="AH104" s="46" t="n"/>
      <c r="AI104" s="46" t="n"/>
      <c r="AJ104" s="46" t="n"/>
      <c r="AK104" s="46" t="n"/>
    </row>
    <row r="105"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  <c r="AH105" s="46" t="n"/>
      <c r="AI105" s="46" t="n"/>
      <c r="AJ105" s="46" t="n"/>
      <c r="AK105" s="46" t="n"/>
    </row>
    <row r="106"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  <c r="AH106" s="46" t="n"/>
      <c r="AI106" s="46" t="n"/>
      <c r="AJ106" s="46" t="n"/>
      <c r="AK106" s="46" t="n"/>
    </row>
    <row r="107"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  <c r="AH107" s="46" t="n"/>
      <c r="AI107" s="46" t="n"/>
      <c r="AJ107" s="46" t="n"/>
      <c r="AK107" s="46" t="n"/>
    </row>
    <row r="108"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  <c r="AH108" s="46" t="n"/>
      <c r="AI108" s="46" t="n"/>
      <c r="AJ108" s="46" t="n"/>
      <c r="AK108" s="46" t="n"/>
    </row>
    <row r="109"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  <c r="AH109" s="46" t="n"/>
      <c r="AI109" s="46" t="n"/>
      <c r="AJ109" s="46" t="n"/>
      <c r="AK109" s="46" t="n"/>
    </row>
    <row r="110"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  <c r="AH110" s="46" t="n"/>
      <c r="AI110" s="46" t="n"/>
      <c r="AJ110" s="46" t="n"/>
      <c r="AK110" s="46" t="n"/>
    </row>
    <row r="111"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  <c r="AH111" s="46" t="n"/>
      <c r="AI111" s="46" t="n"/>
      <c r="AJ111" s="46" t="n"/>
      <c r="AK111" s="46" t="n"/>
    </row>
    <row r="112"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  <c r="AH112" s="46" t="n"/>
      <c r="AI112" s="46" t="n"/>
      <c r="AJ112" s="46" t="n"/>
      <c r="AK112" s="46" t="n"/>
    </row>
    <row r="113"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6" t="n"/>
      <c r="AI113" s="46" t="n"/>
      <c r="AJ113" s="46" t="n"/>
      <c r="AK113" s="46" t="n"/>
    </row>
    <row r="114"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  <c r="AH114" s="46" t="n"/>
      <c r="AI114" s="46" t="n"/>
      <c r="AJ114" s="46" t="n"/>
      <c r="AK114" s="46" t="n"/>
    </row>
    <row r="115"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  <c r="AH115" s="46" t="n"/>
      <c r="AI115" s="46" t="n"/>
      <c r="AJ115" s="46" t="n"/>
      <c r="AK115" s="46" t="n"/>
    </row>
    <row r="116"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  <c r="AH116" s="46" t="n"/>
      <c r="AI116" s="46" t="n"/>
      <c r="AJ116" s="46" t="n"/>
      <c r="AK116" s="46" t="n"/>
    </row>
    <row r="117"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  <c r="AH117" s="46" t="n"/>
      <c r="AI117" s="46" t="n"/>
      <c r="AJ117" s="46" t="n"/>
      <c r="AK117" s="46" t="n"/>
    </row>
    <row r="118"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  <c r="AH118" s="46" t="n"/>
      <c r="AI118" s="46" t="n"/>
      <c r="AJ118" s="46" t="n"/>
      <c r="AK118" s="46" t="n"/>
    </row>
    <row r="119"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  <c r="AH119" s="46" t="n"/>
      <c r="AI119" s="46" t="n"/>
      <c r="AJ119" s="46" t="n"/>
      <c r="AK119" s="46" t="n"/>
    </row>
    <row r="120"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  <c r="AH120" s="46" t="n"/>
      <c r="AI120" s="46" t="n"/>
      <c r="AJ120" s="46" t="n"/>
      <c r="AK120" s="46" t="n"/>
    </row>
    <row r="121"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  <c r="AH121" s="46" t="n"/>
      <c r="AI121" s="46" t="n"/>
      <c r="AJ121" s="46" t="n"/>
      <c r="AK121" s="46" t="n"/>
    </row>
    <row r="122"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  <c r="AH122" s="46" t="n"/>
      <c r="AI122" s="46" t="n"/>
      <c r="AJ122" s="46" t="n"/>
      <c r="AK122" s="46" t="n"/>
    </row>
    <row r="123"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  <c r="AH123" s="46" t="n"/>
      <c r="AI123" s="46" t="n"/>
      <c r="AJ123" s="46" t="n"/>
      <c r="AK123" s="46" t="n"/>
    </row>
    <row r="124"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  <c r="AH124" s="46" t="n"/>
      <c r="AI124" s="46" t="n"/>
      <c r="AJ124" s="46" t="n"/>
      <c r="AK124" s="46" t="n"/>
    </row>
    <row r="125"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  <c r="AH125" s="46" t="n"/>
      <c r="AI125" s="46" t="n"/>
      <c r="AJ125" s="46" t="n"/>
      <c r="AK125" s="46" t="n"/>
    </row>
    <row r="126"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  <c r="AH126" s="46" t="n"/>
      <c r="AI126" s="46" t="n"/>
      <c r="AJ126" s="46" t="n"/>
      <c r="AK126" s="46" t="n"/>
    </row>
    <row r="127"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  <c r="AH127" s="46" t="n"/>
      <c r="AI127" s="46" t="n"/>
      <c r="AJ127" s="46" t="n"/>
      <c r="AK127" s="46" t="n"/>
    </row>
    <row r="128"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  <c r="AH128" s="46" t="n"/>
      <c r="AI128" s="46" t="n"/>
      <c r="AJ128" s="46" t="n"/>
      <c r="AK128" s="46" t="n"/>
    </row>
    <row r="129"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  <c r="AH129" s="46" t="n"/>
      <c r="AI129" s="46" t="n"/>
      <c r="AJ129" s="46" t="n"/>
      <c r="AK129" s="46" t="n"/>
    </row>
    <row r="130"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  <c r="AH130" s="46" t="n"/>
      <c r="AI130" s="46" t="n"/>
      <c r="AJ130" s="46" t="n"/>
      <c r="AK130" s="46" t="n"/>
    </row>
    <row r="131"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  <c r="AH131" s="46" t="n"/>
      <c r="AI131" s="46" t="n"/>
      <c r="AJ131" s="46" t="n"/>
      <c r="AK131" s="46" t="n"/>
    </row>
    <row r="132"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  <c r="AH132" s="46" t="n"/>
      <c r="AI132" s="46" t="n"/>
      <c r="AJ132" s="46" t="n"/>
      <c r="AK132" s="46" t="n"/>
    </row>
    <row r="133"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  <c r="AH133" s="46" t="n"/>
      <c r="AI133" s="46" t="n"/>
      <c r="AJ133" s="46" t="n"/>
      <c r="AK133" s="46" t="n"/>
    </row>
    <row r="134"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  <c r="AH134" s="46" t="n"/>
      <c r="AI134" s="46" t="n"/>
      <c r="AJ134" s="46" t="n"/>
      <c r="AK134" s="46" t="n"/>
    </row>
    <row r="135"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6" t="n"/>
      <c r="AI135" s="46" t="n"/>
      <c r="AJ135" s="46" t="n"/>
      <c r="AK135" s="46" t="n"/>
    </row>
    <row r="136"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  <c r="AH136" s="46" t="n"/>
      <c r="AI136" s="46" t="n"/>
      <c r="AJ136" s="46" t="n"/>
      <c r="AK136" s="46" t="n"/>
    </row>
    <row r="137"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  <c r="AH137" s="46" t="n"/>
      <c r="AI137" s="46" t="n"/>
      <c r="AJ137" s="46" t="n"/>
      <c r="AK137" s="46" t="n"/>
    </row>
    <row r="138"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  <c r="AH138" s="46" t="n"/>
      <c r="AI138" s="46" t="n"/>
      <c r="AJ138" s="46" t="n"/>
      <c r="AK138" s="46" t="n"/>
    </row>
    <row r="139"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  <c r="AH139" s="46" t="n"/>
      <c r="AI139" s="46" t="n"/>
      <c r="AJ139" s="46" t="n"/>
      <c r="AK139" s="46" t="n"/>
    </row>
    <row r="140"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  <c r="AH140" s="46" t="n"/>
      <c r="AI140" s="46" t="n"/>
      <c r="AJ140" s="46" t="n"/>
      <c r="AK140" s="46" t="n"/>
    </row>
    <row r="141"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  <c r="AH141" s="46" t="n"/>
      <c r="AI141" s="46" t="n"/>
      <c r="AJ141" s="46" t="n"/>
      <c r="AK141" s="46" t="n"/>
    </row>
    <row r="142"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  <c r="AH142" s="46" t="n"/>
      <c r="AI142" s="46" t="n"/>
      <c r="AJ142" s="46" t="n"/>
      <c r="AK142" s="46" t="n"/>
    </row>
    <row r="143"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  <c r="AH143" s="46" t="n"/>
      <c r="AI143" s="46" t="n"/>
      <c r="AJ143" s="46" t="n"/>
      <c r="AK143" s="46" t="n"/>
    </row>
    <row r="144"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  <c r="AH144" s="46" t="n"/>
      <c r="AI144" s="46" t="n"/>
      <c r="AJ144" s="46" t="n"/>
      <c r="AK144" s="46" t="n"/>
    </row>
    <row r="145"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</row>
    <row r="146"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6" t="n"/>
      <c r="AI146" s="46" t="n"/>
      <c r="AJ146" s="46" t="n"/>
      <c r="AK146" s="46" t="n"/>
    </row>
    <row r="147"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6" t="n"/>
      <c r="AI147" s="46" t="n"/>
      <c r="AJ147" s="46" t="n"/>
      <c r="AK147" s="46" t="n"/>
    </row>
    <row r="148"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  <c r="AH148" s="46" t="n"/>
      <c r="AI148" s="46" t="n"/>
      <c r="AJ148" s="46" t="n"/>
      <c r="AK148" s="46" t="n"/>
    </row>
    <row r="149"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  <c r="AH149" s="46" t="n"/>
      <c r="AI149" s="46" t="n"/>
      <c r="AJ149" s="46" t="n"/>
      <c r="AK149" s="46" t="n"/>
    </row>
  </sheetData>
  <autoFilter ref="E7:AM42">
    <filterColumn colId="2" hiddenButton="0" showButton="1">
      <filters>
        <filter val="Efrain"/>
        <filter val="Fabian D."/>
        <filter val="Jimmy"/>
        <filter val="Luis"/>
        <filter val="Orlando"/>
        <filter val="Wilmer"/>
      </filters>
    </filterColumn>
    <sortState ref="E8:AM42">
      <sortCondition ref="G8:G42"/>
      <sortCondition ref="E8:E42"/>
    </sortState>
  </autoFilter>
  <conditionalFormatting sqref="E1:E1048576">
    <cfRule type="duplicateValues" priority="1" dxfId="0"/>
  </conditionalFormatting>
  <pageMargins left="0.7086614173228347" right="0.7086614173228347" top="0.7480314960629921" bottom="0.7480314960629921" header="0.3149606299212598" footer="0.3149606299212598"/>
  <pageSetup orientation="landscape" scale="7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Jimenez</dc:creator>
  <dcterms:created xsi:type="dcterms:W3CDTF">2025-11-05T14:16:25Z</dcterms:created>
  <dcterms:modified xsi:type="dcterms:W3CDTF">2026-01-04T19:59:54Z</dcterms:modified>
  <cp:lastModifiedBy>christian zambrano vallejos</cp:lastModifiedBy>
  <cp:lastPrinted>2025-11-05T14:35:35Z</cp:lastPrinted>
</cp:coreProperties>
</file>