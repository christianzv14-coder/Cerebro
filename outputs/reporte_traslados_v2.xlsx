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58" documentId="11_EAA98BC407449B2C1B7A22953961D21115E267E1" xr6:coauthVersionLast="47" xr6:coauthVersionMax="47" xr10:uidLastSave="{776E9364-8187-446C-BC36-F3667B06EECF}"/>
  <bookViews>
    <workbookView xWindow="-19310" yWindow="2500" windowWidth="19420" windowHeight="10300" activeTab="2" xr2:uid="{00000000-000D-0000-FFFF-FFFF00000000}"/>
  </bookViews>
  <sheets>
    <sheet name="Hoja1" sheetId="3" r:id="rId1"/>
    <sheet name="Traslados Detalle" sheetId="1" r:id="rId2"/>
    <sheet name="Fletes y Envios" sheetId="2" r:id="rId3"/>
  </sheets>
  <definedNames>
    <definedName name="_xlcn.WorksheetConnection_TrasladosDetalleA1H371" hidden="1">'Traslados Detalle'!$A$1:$H$37</definedName>
  </definedNames>
  <calcPr calcId="191029"/>
  <pivotCaches>
    <pivotCache cacheId="96" r:id="rId4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Traslados Detalle!$A$1:$H$3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7" i="1"/>
  <c r="K15" i="1"/>
  <c r="K14" i="1"/>
  <c r="K11" i="1"/>
  <c r="H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B89B7-8703-4787-B9D6-E8C92C2454D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20194B-5EDE-456C-91E6-E24B1964224A}" name="WorksheetConnection_Traslados Detalle!$A$1:$H$37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TrasladosDetalleA1H371"/>
        </x15:connection>
      </ext>
    </extLst>
  </connection>
</connections>
</file>

<file path=xl/sharedStrings.xml><?xml version="1.0" encoding="utf-8"?>
<sst xmlns="http://schemas.openxmlformats.org/spreadsheetml/2006/main" count="266" uniqueCount="57">
  <si>
    <t>Tecnico</t>
  </si>
  <si>
    <t>Origen</t>
  </si>
  <si>
    <t>Destino</t>
  </si>
  <si>
    <t>Modo</t>
  </si>
  <si>
    <t>Distancia (km)</t>
  </si>
  <si>
    <t>Peaje (UF)</t>
  </si>
  <si>
    <t>Combustible (UF)</t>
  </si>
  <si>
    <t>Costo Total Viaje (UF)</t>
  </si>
  <si>
    <t>Luis</t>
  </si>
  <si>
    <t>Santiago</t>
  </si>
  <si>
    <t>San Fernando</t>
  </si>
  <si>
    <t>Terrestre</t>
  </si>
  <si>
    <t>Fabian D.</t>
  </si>
  <si>
    <t>La Serena</t>
  </si>
  <si>
    <t>Avion</t>
  </si>
  <si>
    <t>N/A</t>
  </si>
  <si>
    <t>Viña del Mar</t>
  </si>
  <si>
    <t>San Felipe</t>
  </si>
  <si>
    <t>Efrain</t>
  </si>
  <si>
    <t>Concepcion</t>
  </si>
  <si>
    <t>Jimmy</t>
  </si>
  <si>
    <t>Chillan</t>
  </si>
  <si>
    <t>Rancagua</t>
  </si>
  <si>
    <t>Los Angeles</t>
  </si>
  <si>
    <t>Temuco</t>
  </si>
  <si>
    <t>Carlos</t>
  </si>
  <si>
    <t>Talca</t>
  </si>
  <si>
    <t>San Antonio</t>
  </si>
  <si>
    <t>Orlando</t>
  </si>
  <si>
    <t>Calama</t>
  </si>
  <si>
    <t>Antofagasta</t>
  </si>
  <si>
    <t>Iquique</t>
  </si>
  <si>
    <t>Ciudad</t>
  </si>
  <si>
    <t>Tipo</t>
  </si>
  <si>
    <t>Concepto</t>
  </si>
  <si>
    <t>Costo Flete (UF)</t>
  </si>
  <si>
    <t>Interno (Operativo)</t>
  </si>
  <si>
    <t>Envio Materiales</t>
  </si>
  <si>
    <t>Arica</t>
  </si>
  <si>
    <t>Externo</t>
  </si>
  <si>
    <t>Mixto</t>
  </si>
  <si>
    <t>Coyhaique</t>
  </si>
  <si>
    <t>Interno (Base Remota)</t>
  </si>
  <si>
    <t>Copiapo</t>
  </si>
  <si>
    <t>Punta Arenas</t>
  </si>
  <si>
    <t>Osorno</t>
  </si>
  <si>
    <t>Puerto Montt</t>
  </si>
  <si>
    <t>Etiquetas de fila</t>
  </si>
  <si>
    <t>Total general</t>
  </si>
  <si>
    <t>Suma de Costo Total Viaje (UF)</t>
  </si>
  <si>
    <t>km</t>
  </si>
  <si>
    <t>L</t>
  </si>
  <si>
    <t>Distancia</t>
  </si>
  <si>
    <t>precio</t>
  </si>
  <si>
    <t>UF</t>
  </si>
  <si>
    <t>rendimiento</t>
  </si>
  <si>
    <t>uf/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</si>
</sst>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zam" refreshedDate="46026.766706712966" backgroundQuery="1" createdVersion="8" refreshedVersion="8" minRefreshableVersion="3" recordCount="0" supportSubquery="1" supportAdvancedDrill="1" xr:uid="{D271F270-0A17-45B1-9CD3-3ED5375405CF}">
  <cacheSource type="external" connectionId="1"/>
  <cacheFields count="2">
    <cacheField name="[Measures].[Suma de Costo Total Viaje (UF)]" caption="Suma de Costo Total Viaje (UF)" numFmtId="0" hierarchy="12" level="32767"/>
    <cacheField name="[Rango].[Destino].[Destino]" caption="Destino" numFmtId="0" hierarchy="2" level="1">
      <sharedItems count="15">
        <s v="Antofagasta"/>
        <s v="Calama"/>
        <s v="Chillan"/>
        <s v="Concepcion"/>
        <s v="Iquique"/>
        <s v="La Serena"/>
        <s v="Los Angeles"/>
        <s v="Rancagua"/>
        <s v="San Antonio"/>
        <s v="San Felipe"/>
        <s v="San Fernando"/>
        <s v="Santiago"/>
        <s v="Talca"/>
        <s v="Temuco"/>
        <s v="Viña del Mar"/>
      </sharedItems>
    </cacheField>
  </cacheFields>
  <cacheHierarchies count="14">
    <cacheHierarchy uniqueName="[Rango].[Tecnico]" caption="Tecnico" attribute="1" defaultMemberUniqueName="[Rango].[Tecnico].[All]" allUniqueName="[Rango].[Tecnico].[All]" dimensionUniqueName="[Rango]" displayFolder="" count="0" memberValueDatatype="130" unbalanced="0"/>
    <cacheHierarchy uniqueName="[Rango].[Origen]" caption="Origen" attribute="1" defaultMemberUniqueName="[Rango].[Origen].[All]" allUniqueName="[Rango].[Origen].[All]" dimensionUniqueName="[Rango]" displayFolder="" count="0" memberValueDatatype="130" unbalanced="0"/>
    <cacheHierarchy uniqueName="[Rango].[Destino]" caption="Destino" attribute="1" defaultMemberUniqueName="[Rango].[Destino].[All]" allUniqueName="[Rango].[Destino].[All]" dimensionUniqueName="[Rango]" displayFolder="" count="2" memberValueDatatype="130" unbalanced="0">
      <fieldsUsage count="2">
        <fieldUsage x="-1"/>
        <fieldUsage x="1"/>
      </fieldsUsage>
    </cacheHierarchy>
    <cacheHierarchy uniqueName="[Rango].[Modo]" caption="Modo" attribute="1" defaultMemberUniqueName="[Rango].[Modo].[All]" allUniqueName="[Rango].[Modo].[All]" dimensionUniqueName="[Rango]" displayFolder="" count="0" memberValueDatatype="130" unbalanced="0"/>
    <cacheHierarchy uniqueName="[Rango].[Distancia (km)]" caption="Distancia (km)" attribute="1" defaultMemberUniqueName="[Rango].[Distancia (km)].[All]" allUniqueName="[Rango].[Distancia (km)].[All]" dimensionUniqueName="[Rango]" displayFolder="" count="0" memberValueDatatype="130" unbalanced="0"/>
    <cacheHierarchy uniqueName="[Rango].[Peaje (UF)]" caption="Peaje (UF)" attribute="1" defaultMemberUniqueName="[Rango].[Peaje (UF)].[All]" allUniqueName="[Rango].[Peaje (UF)].[All]" dimensionUniqueName="[Rango]" displayFolder="" count="0" memberValueDatatype="5" unbalanced="0"/>
    <cacheHierarchy uniqueName="[Rango].[Combustible (UF)]" caption="Combustible (UF)" attribute="1" defaultMemberUniqueName="[Rango].[Combustible (UF)].[All]" allUniqueName="[Rango].[Combustible (UF)].[All]" dimensionUniqueName="[Rango]" displayFolder="" count="0" memberValueDatatype="5" unbalanced="0"/>
    <cacheHierarchy uniqueName="[Rango].[Costo Total Viaje (UF)]" caption="Costo Total Viaje (UF)" attribute="1" defaultMemberUniqueName="[Rango].[Costo Total Viaje (UF)].[All]" allUniqueName="[Rango].[Costo Total Viaje (UF)].[All]" dimensionUniqueName="[Rango]" displayFolder="" count="0" memberValueDatatype="5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Combustible (UF)]" caption="Suma de Combustible (UF)" measure="1" displayFolder="" measureGroup="Rang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Peaje (UF)]" caption="Suma de Peaje (UF)" measure="1" displayFolder="" measureGroup="Rang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sto Total Viaje (UF)]" caption="Suma de Costo Total Viaje (UF)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Distancia (km)]" caption="Recuento de Distancia (km)" measure="1" displayFolder="" measureGroup="Rang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16283-A592-46F2-B0B0-E05BBDAA5A82}" name="TablaDinámica3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Costo Total Viaje (UF)" fld="0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slados Detalle!$A$1:$H$37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106A-38F5-48D7-8547-4F7C5B942625}">
  <dimension ref="A3:J19"/>
  <sheetViews>
    <sheetView workbookViewId="0">
      <selection activeCell="A3" sqref="A3"/>
    </sheetView>
  </sheetViews>
  <sheetFormatPr baseColWidth="10" defaultRowHeight="14.25" x14ac:dyDescent="0.45"/>
  <cols>
    <col min="1" max="1" width="16.1328125" bestFit="1" customWidth="1"/>
    <col min="2" max="2" width="26.19921875" bestFit="1" customWidth="1"/>
    <col min="3" max="3" width="16.6640625" bestFit="1" customWidth="1"/>
  </cols>
  <sheetData>
    <row r="3" spans="1:10" x14ac:dyDescent="0.45">
      <c r="A3" s="2" t="s">
        <v>47</v>
      </c>
      <c r="B3" t="s">
        <v>49</v>
      </c>
    </row>
    <row r="4" spans="1:10" x14ac:dyDescent="0.45">
      <c r="A4" s="3" t="s">
        <v>30</v>
      </c>
      <c r="B4" s="4">
        <v>0.81059999999999999</v>
      </c>
    </row>
    <row r="5" spans="1:10" x14ac:dyDescent="0.45">
      <c r="A5" s="3" t="s">
        <v>29</v>
      </c>
      <c r="B5" s="4">
        <v>1.6617</v>
      </c>
    </row>
    <row r="6" spans="1:10" x14ac:dyDescent="0.45">
      <c r="A6" s="3" t="s">
        <v>21</v>
      </c>
      <c r="B6" s="4">
        <v>0.89159999999999995</v>
      </c>
    </row>
    <row r="7" spans="1:10" x14ac:dyDescent="0.45">
      <c r="A7" s="3" t="s">
        <v>19</v>
      </c>
      <c r="B7" s="4">
        <v>3.6890000000000001</v>
      </c>
    </row>
    <row r="8" spans="1:10" x14ac:dyDescent="0.45">
      <c r="A8" s="3" t="s">
        <v>31</v>
      </c>
      <c r="B8" s="4">
        <v>0.85109999999999997</v>
      </c>
      <c r="F8" t="s">
        <v>55</v>
      </c>
    </row>
    <row r="9" spans="1:10" x14ac:dyDescent="0.45">
      <c r="A9" s="3" t="s">
        <v>13</v>
      </c>
      <c r="B9" s="4">
        <v>3</v>
      </c>
      <c r="F9">
        <v>10</v>
      </c>
      <c r="G9" t="s">
        <v>50</v>
      </c>
    </row>
    <row r="10" spans="1:10" x14ac:dyDescent="0.45">
      <c r="A10" s="3" t="s">
        <v>23</v>
      </c>
      <c r="B10" s="4">
        <v>1.9859</v>
      </c>
      <c r="G10" t="s">
        <v>51</v>
      </c>
      <c r="H10">
        <f>F16</f>
        <v>1</v>
      </c>
    </row>
    <row r="11" spans="1:10" x14ac:dyDescent="0.45">
      <c r="A11" s="3" t="s">
        <v>22</v>
      </c>
      <c r="B11" s="4">
        <v>1.2564</v>
      </c>
    </row>
    <row r="12" spans="1:10" x14ac:dyDescent="0.45">
      <c r="A12" s="3" t="s">
        <v>27</v>
      </c>
      <c r="B12" s="4">
        <v>0.56740000000000002</v>
      </c>
      <c r="F12" t="s">
        <v>52</v>
      </c>
    </row>
    <row r="13" spans="1:10" x14ac:dyDescent="0.45">
      <c r="A13" s="3" t="s">
        <v>17</v>
      </c>
      <c r="B13" s="4">
        <v>0.48630000000000001</v>
      </c>
      <c r="F13">
        <v>120</v>
      </c>
      <c r="G13" t="s">
        <v>50</v>
      </c>
    </row>
    <row r="14" spans="1:10" x14ac:dyDescent="0.45">
      <c r="A14" s="3" t="s">
        <v>10</v>
      </c>
      <c r="B14" s="4">
        <v>2.9789000000000003</v>
      </c>
      <c r="J14" t="s">
        <v>56</v>
      </c>
    </row>
    <row r="15" spans="1:10" x14ac:dyDescent="0.45">
      <c r="A15" s="3" t="s">
        <v>9</v>
      </c>
      <c r="B15" s="4">
        <v>3.2827000000000002</v>
      </c>
      <c r="F15" t="s">
        <v>53</v>
      </c>
    </row>
    <row r="16" spans="1:10" x14ac:dyDescent="0.45">
      <c r="A16" s="3" t="s">
        <v>26</v>
      </c>
      <c r="B16" s="4">
        <v>1.1551</v>
      </c>
      <c r="F16">
        <v>1</v>
      </c>
      <c r="G16" t="s">
        <v>54</v>
      </c>
    </row>
    <row r="17" spans="1:7" x14ac:dyDescent="0.45">
      <c r="A17" s="3" t="s">
        <v>24</v>
      </c>
      <c r="B17" s="4">
        <v>0.64850000000000008</v>
      </c>
      <c r="G17" t="s">
        <v>51</v>
      </c>
    </row>
    <row r="18" spans="1:7" x14ac:dyDescent="0.45">
      <c r="A18" s="3" t="s">
        <v>16</v>
      </c>
      <c r="B18" s="4">
        <v>4.0326000000000004</v>
      </c>
    </row>
    <row r="19" spans="1:7" x14ac:dyDescent="0.45">
      <c r="A19" s="3" t="s">
        <v>48</v>
      </c>
      <c r="B19" s="4">
        <v>27.297799999999992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workbookViewId="0">
      <selection activeCell="G1" sqref="G1:G1048576"/>
    </sheetView>
  </sheetViews>
  <sheetFormatPr baseColWidth="10" defaultColWidth="9.06640625" defaultRowHeight="14.25" x14ac:dyDescent="0.45"/>
  <cols>
    <col min="1" max="1" width="8.3984375" bestFit="1" customWidth="1"/>
    <col min="2" max="3" width="12" bestFit="1" customWidth="1"/>
    <col min="4" max="4" width="8.265625" bestFit="1" customWidth="1"/>
    <col min="5" max="5" width="12.53125" bestFit="1" customWidth="1"/>
    <col min="6" max="6" width="9.6640625" customWidth="1"/>
    <col min="7" max="7" width="14.9296875" bestFit="1" customWidth="1"/>
    <col min="8" max="8" width="18.53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45">
      <c r="A2" t="s">
        <v>8</v>
      </c>
      <c r="B2" t="s">
        <v>9</v>
      </c>
      <c r="C2" t="s">
        <v>10</v>
      </c>
      <c r="D2" t="s">
        <v>11</v>
      </c>
      <c r="E2">
        <v>140</v>
      </c>
      <c r="F2">
        <v>8.8599999999999998E-2</v>
      </c>
      <c r="G2">
        <v>0.4788</v>
      </c>
      <c r="H2">
        <v>0.56740000000000002</v>
      </c>
    </row>
    <row r="3" spans="1:11" x14ac:dyDescent="0.45">
      <c r="A3" t="s">
        <v>8</v>
      </c>
      <c r="B3" t="s">
        <v>10</v>
      </c>
      <c r="C3" t="s">
        <v>9</v>
      </c>
      <c r="D3" t="s">
        <v>11</v>
      </c>
      <c r="E3">
        <v>140</v>
      </c>
      <c r="F3">
        <v>8.8599999999999998E-2</v>
      </c>
      <c r="G3">
        <v>0.4788</v>
      </c>
      <c r="H3">
        <v>0.56740000000000002</v>
      </c>
    </row>
    <row r="4" spans="1:11" x14ac:dyDescent="0.45">
      <c r="A4" t="s">
        <v>12</v>
      </c>
      <c r="B4" t="s">
        <v>9</v>
      </c>
      <c r="C4" t="s">
        <v>13</v>
      </c>
      <c r="D4" t="s">
        <v>14</v>
      </c>
      <c r="E4" t="s">
        <v>15</v>
      </c>
      <c r="F4">
        <v>0</v>
      </c>
      <c r="G4">
        <v>0</v>
      </c>
      <c r="H4">
        <v>3</v>
      </c>
    </row>
    <row r="5" spans="1:11" x14ac:dyDescent="0.45">
      <c r="A5" t="s">
        <v>12</v>
      </c>
      <c r="B5" t="s">
        <v>13</v>
      </c>
      <c r="C5" t="s">
        <v>16</v>
      </c>
      <c r="D5" t="s">
        <v>11</v>
      </c>
      <c r="E5">
        <v>350</v>
      </c>
      <c r="F5">
        <v>0.2215</v>
      </c>
      <c r="G5">
        <v>1.1970000000000001</v>
      </c>
      <c r="H5">
        <v>1.4185000000000001</v>
      </c>
    </row>
    <row r="6" spans="1:11" x14ac:dyDescent="0.45">
      <c r="A6" t="s">
        <v>12</v>
      </c>
      <c r="B6" t="s">
        <v>16</v>
      </c>
      <c r="C6" t="s">
        <v>9</v>
      </c>
      <c r="D6" t="s">
        <v>11</v>
      </c>
      <c r="E6">
        <v>120</v>
      </c>
      <c r="F6">
        <v>7.5899999999999995E-2</v>
      </c>
      <c r="G6">
        <v>0.41039999999999999</v>
      </c>
      <c r="H6">
        <v>0.48630000000000001</v>
      </c>
    </row>
    <row r="7" spans="1:11" x14ac:dyDescent="0.45">
      <c r="A7" t="s">
        <v>12</v>
      </c>
      <c r="B7" t="s">
        <v>9</v>
      </c>
      <c r="C7" t="s">
        <v>17</v>
      </c>
      <c r="D7" t="s">
        <v>11</v>
      </c>
      <c r="E7">
        <v>95</v>
      </c>
      <c r="F7">
        <v>6.0100000000000001E-2</v>
      </c>
      <c r="G7">
        <v>0.32490000000000002</v>
      </c>
      <c r="H7">
        <v>0.38500000000000001</v>
      </c>
    </row>
    <row r="8" spans="1:11" x14ac:dyDescent="0.45">
      <c r="A8" t="s">
        <v>12</v>
      </c>
      <c r="B8" t="s">
        <v>17</v>
      </c>
      <c r="C8" t="s">
        <v>9</v>
      </c>
      <c r="D8" t="s">
        <v>11</v>
      </c>
      <c r="E8">
        <v>95</v>
      </c>
      <c r="F8">
        <v>6.0100000000000001E-2</v>
      </c>
      <c r="G8">
        <v>0.32490000000000002</v>
      </c>
      <c r="H8">
        <v>0.38500000000000001</v>
      </c>
    </row>
    <row r="9" spans="1:11" x14ac:dyDescent="0.45">
      <c r="A9" t="s">
        <v>18</v>
      </c>
      <c r="B9" t="s">
        <v>9</v>
      </c>
      <c r="C9" t="s">
        <v>10</v>
      </c>
      <c r="D9" t="s">
        <v>11</v>
      </c>
      <c r="E9">
        <v>140</v>
      </c>
      <c r="F9">
        <v>8.8599999999999998E-2</v>
      </c>
      <c r="G9">
        <v>0.4788</v>
      </c>
      <c r="H9">
        <v>0.56740000000000002</v>
      </c>
    </row>
    <row r="10" spans="1:11" x14ac:dyDescent="0.45">
      <c r="A10" t="s">
        <v>18</v>
      </c>
      <c r="B10" t="s">
        <v>10</v>
      </c>
      <c r="C10" t="s">
        <v>9</v>
      </c>
      <c r="D10" t="s">
        <v>11</v>
      </c>
      <c r="E10">
        <v>140</v>
      </c>
      <c r="F10">
        <v>8.8599999999999998E-2</v>
      </c>
      <c r="G10">
        <v>0.4788</v>
      </c>
      <c r="H10">
        <v>0.56740000000000002</v>
      </c>
    </row>
    <row r="11" spans="1:11" x14ac:dyDescent="0.45">
      <c r="A11" t="s">
        <v>18</v>
      </c>
      <c r="B11" t="s">
        <v>9</v>
      </c>
      <c r="C11" t="s">
        <v>19</v>
      </c>
      <c r="D11" t="s">
        <v>14</v>
      </c>
      <c r="E11" t="s">
        <v>15</v>
      </c>
      <c r="F11">
        <v>0</v>
      </c>
      <c r="G11">
        <v>0</v>
      </c>
      <c r="H11">
        <v>3</v>
      </c>
      <c r="J11">
        <v>1300</v>
      </c>
      <c r="K11">
        <f>J11/J12</f>
        <v>130</v>
      </c>
    </row>
    <row r="12" spans="1:11" x14ac:dyDescent="0.45">
      <c r="A12" t="s">
        <v>18</v>
      </c>
      <c r="B12" t="s">
        <v>19</v>
      </c>
      <c r="C12" t="s">
        <v>16</v>
      </c>
      <c r="D12" t="s">
        <v>11</v>
      </c>
      <c r="E12">
        <v>620</v>
      </c>
      <c r="F12">
        <v>0.39240000000000003</v>
      </c>
      <c r="G12">
        <v>2.1204000000000001</v>
      </c>
      <c r="H12">
        <v>2.5127999999999999</v>
      </c>
      <c r="J12">
        <v>10</v>
      </c>
    </row>
    <row r="13" spans="1:11" x14ac:dyDescent="0.45">
      <c r="A13" t="s">
        <v>18</v>
      </c>
      <c r="B13" t="s">
        <v>16</v>
      </c>
      <c r="C13" t="s">
        <v>17</v>
      </c>
      <c r="D13" t="s">
        <v>11</v>
      </c>
      <c r="E13">
        <v>25</v>
      </c>
      <c r="F13">
        <v>1.5800000000000002E-2</v>
      </c>
      <c r="G13">
        <v>8.5499999999999993E-2</v>
      </c>
      <c r="H13">
        <v>0.1013</v>
      </c>
      <c r="J13">
        <v>140</v>
      </c>
    </row>
    <row r="14" spans="1:11" x14ac:dyDescent="0.45">
      <c r="A14" t="s">
        <v>18</v>
      </c>
      <c r="B14" t="s">
        <v>17</v>
      </c>
      <c r="C14" t="s">
        <v>16</v>
      </c>
      <c r="D14" t="s">
        <v>11</v>
      </c>
      <c r="E14">
        <v>25</v>
      </c>
      <c r="F14">
        <v>1.5800000000000002E-2</v>
      </c>
      <c r="G14">
        <v>8.5499999999999993E-2</v>
      </c>
      <c r="H14">
        <v>0.1013</v>
      </c>
      <c r="K14">
        <f>K11*J13</f>
        <v>18200</v>
      </c>
    </row>
    <row r="15" spans="1:11" x14ac:dyDescent="0.45">
      <c r="A15" t="s">
        <v>18</v>
      </c>
      <c r="B15" t="s">
        <v>16</v>
      </c>
      <c r="C15" t="s">
        <v>9</v>
      </c>
      <c r="D15" t="s">
        <v>11</v>
      </c>
      <c r="E15">
        <v>120</v>
      </c>
      <c r="F15">
        <v>7.5899999999999995E-2</v>
      </c>
      <c r="G15">
        <v>0.41039999999999999</v>
      </c>
      <c r="H15">
        <v>0.48630000000000001</v>
      </c>
      <c r="K15">
        <f>K14/39500</f>
        <v>0.46075949367088609</v>
      </c>
    </row>
    <row r="16" spans="1:11" x14ac:dyDescent="0.45">
      <c r="A16" t="s">
        <v>20</v>
      </c>
      <c r="B16" t="s">
        <v>21</v>
      </c>
      <c r="C16" t="s">
        <v>10</v>
      </c>
      <c r="D16" t="s">
        <v>11</v>
      </c>
      <c r="E16">
        <v>260</v>
      </c>
      <c r="F16">
        <v>0.1646</v>
      </c>
      <c r="G16">
        <v>0.88919999999999999</v>
      </c>
      <c r="H16">
        <v>1.0538000000000001</v>
      </c>
    </row>
    <row r="17" spans="1:12" x14ac:dyDescent="0.45">
      <c r="A17" t="s">
        <v>20</v>
      </c>
      <c r="B17" t="s">
        <v>10</v>
      </c>
      <c r="C17" t="s">
        <v>22</v>
      </c>
      <c r="D17" t="s">
        <v>11</v>
      </c>
      <c r="E17">
        <v>55</v>
      </c>
      <c r="F17">
        <v>3.4799999999999998E-2</v>
      </c>
      <c r="G17">
        <v>0.18809999999999999</v>
      </c>
      <c r="H17">
        <v>0.22289999999999999</v>
      </c>
      <c r="L17">
        <f>G2-K15</f>
        <v>1.8040506329113914E-2</v>
      </c>
    </row>
    <row r="18" spans="1:12" x14ac:dyDescent="0.45">
      <c r="A18" t="s">
        <v>20</v>
      </c>
      <c r="B18" t="s">
        <v>22</v>
      </c>
      <c r="C18" t="s">
        <v>10</v>
      </c>
      <c r="D18" t="s">
        <v>11</v>
      </c>
      <c r="E18">
        <v>55</v>
      </c>
      <c r="F18">
        <v>3.4799999999999998E-2</v>
      </c>
      <c r="G18">
        <v>0.18809999999999999</v>
      </c>
      <c r="H18">
        <v>0.22289999999999999</v>
      </c>
      <c r="L18">
        <f>L17*390500</f>
        <v>7044.8177215189835</v>
      </c>
    </row>
    <row r="19" spans="1:12" x14ac:dyDescent="0.45">
      <c r="A19" t="s">
        <v>20</v>
      </c>
      <c r="B19" t="s">
        <v>10</v>
      </c>
      <c r="C19" t="s">
        <v>23</v>
      </c>
      <c r="D19" t="s">
        <v>11</v>
      </c>
      <c r="E19">
        <v>370</v>
      </c>
      <c r="F19">
        <v>0.23419999999999999</v>
      </c>
      <c r="G19">
        <v>1.2654000000000001</v>
      </c>
      <c r="H19">
        <v>1.4996</v>
      </c>
    </row>
    <row r="20" spans="1:12" x14ac:dyDescent="0.45">
      <c r="A20" t="s">
        <v>20</v>
      </c>
      <c r="B20" t="s">
        <v>23</v>
      </c>
      <c r="C20" t="s">
        <v>24</v>
      </c>
      <c r="D20" t="s">
        <v>11</v>
      </c>
      <c r="E20">
        <v>160</v>
      </c>
      <c r="F20">
        <v>0.1013</v>
      </c>
      <c r="G20">
        <v>0.54720000000000002</v>
      </c>
      <c r="H20">
        <v>0.64850000000000008</v>
      </c>
    </row>
    <row r="21" spans="1:12" x14ac:dyDescent="0.45">
      <c r="A21" t="s">
        <v>20</v>
      </c>
      <c r="B21" t="s">
        <v>24</v>
      </c>
      <c r="C21" t="s">
        <v>19</v>
      </c>
      <c r="D21" t="s">
        <v>11</v>
      </c>
      <c r="E21">
        <v>170</v>
      </c>
      <c r="F21">
        <v>0.1076</v>
      </c>
      <c r="G21">
        <v>0.58140000000000003</v>
      </c>
      <c r="H21">
        <v>0.68900000000000006</v>
      </c>
    </row>
    <row r="22" spans="1:12" x14ac:dyDescent="0.45">
      <c r="A22" t="s">
        <v>20</v>
      </c>
      <c r="B22" t="s">
        <v>19</v>
      </c>
      <c r="C22" t="s">
        <v>23</v>
      </c>
      <c r="D22" t="s">
        <v>11</v>
      </c>
      <c r="E22">
        <v>10</v>
      </c>
      <c r="F22">
        <v>6.3E-3</v>
      </c>
      <c r="G22">
        <v>3.4200000000000001E-2</v>
      </c>
      <c r="H22">
        <v>4.0500000000000001E-2</v>
      </c>
    </row>
    <row r="23" spans="1:12" x14ac:dyDescent="0.45">
      <c r="A23" t="s">
        <v>20</v>
      </c>
      <c r="B23" t="s">
        <v>23</v>
      </c>
      <c r="C23" t="s">
        <v>21</v>
      </c>
      <c r="D23" t="s">
        <v>11</v>
      </c>
      <c r="E23">
        <v>110</v>
      </c>
      <c r="F23">
        <v>6.9599999999999995E-2</v>
      </c>
      <c r="G23">
        <v>0.37619999999999998</v>
      </c>
      <c r="H23">
        <v>0.44579999999999997</v>
      </c>
    </row>
    <row r="24" spans="1:12" x14ac:dyDescent="0.45">
      <c r="A24" t="s">
        <v>20</v>
      </c>
      <c r="B24" t="s">
        <v>21</v>
      </c>
      <c r="C24" t="s">
        <v>23</v>
      </c>
      <c r="D24" t="s">
        <v>11</v>
      </c>
      <c r="E24">
        <v>110</v>
      </c>
      <c r="F24">
        <v>6.9599999999999995E-2</v>
      </c>
      <c r="G24">
        <v>0.37619999999999998</v>
      </c>
      <c r="H24">
        <v>0.44579999999999997</v>
      </c>
    </row>
    <row r="25" spans="1:12" x14ac:dyDescent="0.45">
      <c r="A25" t="s">
        <v>20</v>
      </c>
      <c r="B25" t="s">
        <v>23</v>
      </c>
      <c r="C25" t="s">
        <v>21</v>
      </c>
      <c r="D25" t="s">
        <v>11</v>
      </c>
      <c r="E25">
        <v>110</v>
      </c>
      <c r="F25">
        <v>6.9599999999999995E-2</v>
      </c>
      <c r="G25">
        <v>0.37619999999999998</v>
      </c>
      <c r="H25">
        <v>0.44579999999999997</v>
      </c>
    </row>
    <row r="26" spans="1:12" x14ac:dyDescent="0.45">
      <c r="A26" t="s">
        <v>25</v>
      </c>
      <c r="B26" t="s">
        <v>9</v>
      </c>
      <c r="C26" t="s">
        <v>22</v>
      </c>
      <c r="D26" t="s">
        <v>11</v>
      </c>
      <c r="E26">
        <v>85</v>
      </c>
      <c r="F26">
        <v>5.3800000000000001E-2</v>
      </c>
      <c r="G26">
        <v>0.29070000000000001</v>
      </c>
      <c r="H26">
        <v>0.34449999999999997</v>
      </c>
    </row>
    <row r="27" spans="1:12" x14ac:dyDescent="0.45">
      <c r="A27" t="s">
        <v>25</v>
      </c>
      <c r="B27" t="s">
        <v>22</v>
      </c>
      <c r="C27" t="s">
        <v>26</v>
      </c>
      <c r="D27" t="s">
        <v>11</v>
      </c>
      <c r="E27">
        <v>170</v>
      </c>
      <c r="F27">
        <v>0.1076</v>
      </c>
      <c r="G27">
        <v>0.58140000000000003</v>
      </c>
      <c r="H27">
        <v>0.68900000000000006</v>
      </c>
    </row>
    <row r="28" spans="1:12" x14ac:dyDescent="0.45">
      <c r="A28" t="s">
        <v>25</v>
      </c>
      <c r="B28" t="s">
        <v>26</v>
      </c>
      <c r="C28" t="s">
        <v>27</v>
      </c>
      <c r="D28" t="s">
        <v>11</v>
      </c>
      <c r="E28">
        <v>140</v>
      </c>
      <c r="F28">
        <v>8.8599999999999998E-2</v>
      </c>
      <c r="G28">
        <v>0.4788</v>
      </c>
      <c r="H28">
        <v>0.56740000000000002</v>
      </c>
    </row>
    <row r="29" spans="1:12" x14ac:dyDescent="0.45">
      <c r="A29" t="s">
        <v>25</v>
      </c>
      <c r="B29" t="s">
        <v>27</v>
      </c>
      <c r="C29" t="s">
        <v>9</v>
      </c>
      <c r="D29" t="s">
        <v>11</v>
      </c>
      <c r="E29">
        <v>110</v>
      </c>
      <c r="F29">
        <v>6.9599999999999995E-2</v>
      </c>
      <c r="G29">
        <v>0.37619999999999998</v>
      </c>
      <c r="H29">
        <v>0.44579999999999997</v>
      </c>
    </row>
    <row r="30" spans="1:12" x14ac:dyDescent="0.45">
      <c r="A30" t="s">
        <v>25</v>
      </c>
      <c r="B30" t="s">
        <v>9</v>
      </c>
      <c r="C30" t="s">
        <v>10</v>
      </c>
      <c r="D30" t="s">
        <v>11</v>
      </c>
      <c r="E30">
        <v>140</v>
      </c>
      <c r="F30">
        <v>8.8599999999999998E-2</v>
      </c>
      <c r="G30">
        <v>0.4788</v>
      </c>
      <c r="H30">
        <v>0.56740000000000002</v>
      </c>
    </row>
    <row r="31" spans="1:12" x14ac:dyDescent="0.45">
      <c r="A31" t="s">
        <v>25</v>
      </c>
      <c r="B31" t="s">
        <v>10</v>
      </c>
      <c r="C31" t="s">
        <v>26</v>
      </c>
      <c r="D31" t="s">
        <v>11</v>
      </c>
      <c r="E31">
        <v>115</v>
      </c>
      <c r="F31">
        <v>7.2800000000000004E-2</v>
      </c>
      <c r="G31">
        <v>0.39329999999999998</v>
      </c>
      <c r="H31">
        <v>0.46610000000000001</v>
      </c>
    </row>
    <row r="32" spans="1:12" x14ac:dyDescent="0.45">
      <c r="A32" t="s">
        <v>25</v>
      </c>
      <c r="B32" t="s">
        <v>26</v>
      </c>
      <c r="C32" t="s">
        <v>22</v>
      </c>
      <c r="D32" t="s">
        <v>11</v>
      </c>
      <c r="E32">
        <v>170</v>
      </c>
      <c r="F32">
        <v>0.1076</v>
      </c>
      <c r="G32">
        <v>0.58140000000000003</v>
      </c>
      <c r="H32">
        <v>0.68900000000000006</v>
      </c>
    </row>
    <row r="33" spans="1:8" x14ac:dyDescent="0.45">
      <c r="A33" t="s">
        <v>25</v>
      </c>
      <c r="B33" t="s">
        <v>22</v>
      </c>
      <c r="C33" t="s">
        <v>9</v>
      </c>
      <c r="D33" t="s">
        <v>11</v>
      </c>
      <c r="E33">
        <v>85</v>
      </c>
      <c r="F33">
        <v>5.3800000000000001E-2</v>
      </c>
      <c r="G33">
        <v>0.29070000000000001</v>
      </c>
      <c r="H33">
        <v>0.34449999999999997</v>
      </c>
    </row>
    <row r="34" spans="1:8" x14ac:dyDescent="0.45">
      <c r="A34" t="s">
        <v>28</v>
      </c>
      <c r="B34" t="s">
        <v>29</v>
      </c>
      <c r="C34" t="s">
        <v>30</v>
      </c>
      <c r="D34" t="s">
        <v>11</v>
      </c>
      <c r="E34">
        <v>200</v>
      </c>
      <c r="F34">
        <v>0.12659999999999999</v>
      </c>
      <c r="G34">
        <v>0.68399999999999994</v>
      </c>
      <c r="H34">
        <v>0.81059999999999999</v>
      </c>
    </row>
    <row r="35" spans="1:8" x14ac:dyDescent="0.45">
      <c r="A35" t="s">
        <v>28</v>
      </c>
      <c r="B35" t="s">
        <v>30</v>
      </c>
      <c r="C35" t="s">
        <v>29</v>
      </c>
      <c r="D35" t="s">
        <v>11</v>
      </c>
      <c r="E35">
        <v>200</v>
      </c>
      <c r="F35">
        <v>0.12659999999999999</v>
      </c>
      <c r="G35">
        <v>0.68399999999999994</v>
      </c>
      <c r="H35">
        <v>0.81059999999999999</v>
      </c>
    </row>
    <row r="36" spans="1:8" x14ac:dyDescent="0.45">
      <c r="A36" t="s">
        <v>28</v>
      </c>
      <c r="B36" t="s">
        <v>29</v>
      </c>
      <c r="C36" t="s">
        <v>31</v>
      </c>
      <c r="D36" t="s">
        <v>11</v>
      </c>
      <c r="E36">
        <v>210</v>
      </c>
      <c r="F36">
        <v>0.13289999999999999</v>
      </c>
      <c r="G36">
        <v>0.71819999999999995</v>
      </c>
      <c r="H36">
        <v>0.85109999999999997</v>
      </c>
    </row>
    <row r="37" spans="1:8" x14ac:dyDescent="0.45">
      <c r="A37" t="s">
        <v>28</v>
      </c>
      <c r="B37" t="s">
        <v>31</v>
      </c>
      <c r="C37" t="s">
        <v>29</v>
      </c>
      <c r="D37" t="s">
        <v>11</v>
      </c>
      <c r="E37">
        <v>210</v>
      </c>
      <c r="F37">
        <v>0.13289999999999999</v>
      </c>
      <c r="G37">
        <v>0.71819999999999995</v>
      </c>
      <c r="H37">
        <v>0.85109999999999997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E5" sqref="E5"/>
    </sheetView>
  </sheetViews>
  <sheetFormatPr baseColWidth="10" defaultColWidth="9.06640625" defaultRowHeight="14.25" x14ac:dyDescent="0.45"/>
  <cols>
    <col min="2" max="2" width="19.19921875" bestFit="1" customWidth="1"/>
    <col min="3" max="3" width="14.265625" bestFit="1" customWidth="1"/>
    <col min="4" max="4" width="7.73046875" bestFit="1" customWidth="1"/>
  </cols>
  <sheetData>
    <row r="1" spans="1:5" x14ac:dyDescent="0.45">
      <c r="A1" s="1" t="s">
        <v>32</v>
      </c>
      <c r="B1" s="1" t="s">
        <v>33</v>
      </c>
      <c r="C1" s="1" t="s">
        <v>34</v>
      </c>
      <c r="D1" s="1" t="s">
        <v>1</v>
      </c>
      <c r="E1" s="1" t="s">
        <v>35</v>
      </c>
    </row>
    <row r="2" spans="1:5" x14ac:dyDescent="0.45">
      <c r="A2" t="s">
        <v>26</v>
      </c>
      <c r="B2" t="s">
        <v>36</v>
      </c>
      <c r="C2" t="s">
        <v>37</v>
      </c>
      <c r="D2" t="s">
        <v>9</v>
      </c>
      <c r="E2">
        <v>0.4</v>
      </c>
    </row>
    <row r="3" spans="1:5" x14ac:dyDescent="0.45">
      <c r="A3" t="s">
        <v>38</v>
      </c>
      <c r="B3" t="s">
        <v>39</v>
      </c>
      <c r="C3" t="s">
        <v>37</v>
      </c>
      <c r="D3" t="s">
        <v>9</v>
      </c>
      <c r="E3">
        <v>1.7</v>
      </c>
    </row>
    <row r="4" spans="1:5" x14ac:dyDescent="0.45">
      <c r="A4" t="s">
        <v>31</v>
      </c>
      <c r="B4" t="s">
        <v>36</v>
      </c>
      <c r="C4" t="s">
        <v>37</v>
      </c>
      <c r="D4" t="s">
        <v>9</v>
      </c>
      <c r="E4">
        <v>1.5</v>
      </c>
    </row>
    <row r="5" spans="1:5" x14ac:dyDescent="0.45">
      <c r="A5" t="s">
        <v>22</v>
      </c>
      <c r="B5" t="s">
        <v>40</v>
      </c>
      <c r="C5" t="s">
        <v>37</v>
      </c>
      <c r="D5" t="s">
        <v>9</v>
      </c>
      <c r="E5">
        <v>0.3</v>
      </c>
    </row>
    <row r="6" spans="1:5" x14ac:dyDescent="0.45">
      <c r="A6" t="s">
        <v>41</v>
      </c>
      <c r="B6" t="s">
        <v>39</v>
      </c>
      <c r="C6" t="s">
        <v>37</v>
      </c>
      <c r="D6" t="s">
        <v>9</v>
      </c>
      <c r="E6">
        <v>1.7</v>
      </c>
    </row>
    <row r="7" spans="1:5" x14ac:dyDescent="0.45">
      <c r="A7" t="s">
        <v>23</v>
      </c>
      <c r="B7" t="s">
        <v>36</v>
      </c>
      <c r="C7" t="s">
        <v>37</v>
      </c>
      <c r="D7" t="s">
        <v>9</v>
      </c>
      <c r="E7">
        <v>0.4</v>
      </c>
    </row>
    <row r="8" spans="1:5" x14ac:dyDescent="0.45">
      <c r="A8" t="s">
        <v>17</v>
      </c>
      <c r="B8" t="s">
        <v>36</v>
      </c>
      <c r="C8" t="s">
        <v>37</v>
      </c>
      <c r="D8" t="s">
        <v>9</v>
      </c>
      <c r="E8">
        <v>0.3</v>
      </c>
    </row>
    <row r="9" spans="1:5" x14ac:dyDescent="0.45">
      <c r="A9" t="s">
        <v>10</v>
      </c>
      <c r="B9" t="s">
        <v>40</v>
      </c>
      <c r="C9" t="s">
        <v>37</v>
      </c>
      <c r="D9" t="s">
        <v>9</v>
      </c>
      <c r="E9">
        <v>0.3</v>
      </c>
    </row>
    <row r="10" spans="1:5" x14ac:dyDescent="0.45">
      <c r="A10" t="s">
        <v>16</v>
      </c>
      <c r="B10" t="s">
        <v>36</v>
      </c>
      <c r="C10" t="s">
        <v>37</v>
      </c>
      <c r="D10" t="s">
        <v>9</v>
      </c>
      <c r="E10">
        <v>0.3</v>
      </c>
    </row>
    <row r="11" spans="1:5" x14ac:dyDescent="0.45">
      <c r="A11" t="s">
        <v>29</v>
      </c>
      <c r="B11" t="s">
        <v>42</v>
      </c>
      <c r="C11" t="s">
        <v>37</v>
      </c>
      <c r="D11" t="s">
        <v>9</v>
      </c>
      <c r="E11">
        <v>1.5</v>
      </c>
    </row>
    <row r="12" spans="1:5" x14ac:dyDescent="0.45">
      <c r="A12" t="s">
        <v>13</v>
      </c>
      <c r="B12" t="s">
        <v>36</v>
      </c>
      <c r="C12" t="s">
        <v>37</v>
      </c>
      <c r="D12" t="s">
        <v>9</v>
      </c>
      <c r="E12">
        <v>0.4</v>
      </c>
    </row>
    <row r="13" spans="1:5" x14ac:dyDescent="0.45">
      <c r="A13" t="s">
        <v>24</v>
      </c>
      <c r="B13" t="s">
        <v>36</v>
      </c>
      <c r="C13" t="s">
        <v>37</v>
      </c>
      <c r="D13" t="s">
        <v>9</v>
      </c>
      <c r="E13">
        <v>0.4</v>
      </c>
    </row>
    <row r="14" spans="1:5" x14ac:dyDescent="0.45">
      <c r="A14" t="s">
        <v>30</v>
      </c>
      <c r="B14" t="s">
        <v>36</v>
      </c>
      <c r="C14" t="s">
        <v>37</v>
      </c>
      <c r="D14" t="s">
        <v>9</v>
      </c>
      <c r="E14">
        <v>1.3</v>
      </c>
    </row>
    <row r="15" spans="1:5" x14ac:dyDescent="0.45">
      <c r="A15" t="s">
        <v>43</v>
      </c>
      <c r="B15" t="s">
        <v>39</v>
      </c>
      <c r="C15" t="s">
        <v>37</v>
      </c>
      <c r="D15" t="s">
        <v>9</v>
      </c>
      <c r="E15">
        <v>0.4</v>
      </c>
    </row>
    <row r="16" spans="1:5" x14ac:dyDescent="0.45">
      <c r="A16" t="s">
        <v>44</v>
      </c>
      <c r="B16" t="s">
        <v>39</v>
      </c>
      <c r="C16" t="s">
        <v>37</v>
      </c>
      <c r="D16" t="s">
        <v>9</v>
      </c>
      <c r="E16">
        <v>1.7</v>
      </c>
    </row>
    <row r="17" spans="1:5" x14ac:dyDescent="0.45">
      <c r="A17" t="s">
        <v>19</v>
      </c>
      <c r="B17" t="s">
        <v>36</v>
      </c>
      <c r="C17" t="s">
        <v>37</v>
      </c>
      <c r="D17" t="s">
        <v>9</v>
      </c>
      <c r="E17">
        <v>0.4</v>
      </c>
    </row>
    <row r="18" spans="1:5" x14ac:dyDescent="0.45">
      <c r="A18" t="s">
        <v>45</v>
      </c>
      <c r="B18" t="s">
        <v>39</v>
      </c>
      <c r="C18" t="s">
        <v>37</v>
      </c>
      <c r="D18" t="s">
        <v>9</v>
      </c>
      <c r="E18">
        <v>0.4</v>
      </c>
    </row>
    <row r="19" spans="1:5" x14ac:dyDescent="0.45">
      <c r="A19" t="s">
        <v>21</v>
      </c>
      <c r="B19" t="s">
        <v>42</v>
      </c>
      <c r="C19" t="s">
        <v>37</v>
      </c>
      <c r="D19" t="s">
        <v>9</v>
      </c>
      <c r="E19">
        <v>0.4</v>
      </c>
    </row>
    <row r="20" spans="1:5" x14ac:dyDescent="0.45">
      <c r="A20" t="s">
        <v>27</v>
      </c>
      <c r="B20" t="s">
        <v>36</v>
      </c>
      <c r="C20" t="s">
        <v>37</v>
      </c>
      <c r="D20" t="s">
        <v>9</v>
      </c>
      <c r="E20">
        <v>0.3</v>
      </c>
    </row>
    <row r="21" spans="1:5" x14ac:dyDescent="0.45">
      <c r="A21" t="s">
        <v>46</v>
      </c>
      <c r="B21" t="s">
        <v>39</v>
      </c>
      <c r="C21" t="s">
        <v>37</v>
      </c>
      <c r="D21" t="s">
        <v>9</v>
      </c>
      <c r="E21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Traslados Detalle</vt:lpstr>
      <vt:lpstr>Fletes y Envios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2026-01-04T20:51:29Z</dcterms:created>
  <dcterms:modified xsi:type="dcterms:W3CDTF">2026-01-04T21:34:18Z</dcterms:modified>
</cp:coreProperties>
</file>