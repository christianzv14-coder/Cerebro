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3" documentId="11_AF02D67660F5F271DD532B137B2A0E8E0B0E4B37" xr6:coauthVersionLast="47" xr6:coauthVersionMax="47" xr10:uidLastSave="{56EBA912-C853-49F2-8AD2-3E4F3DEA7490}"/>
  <bookViews>
    <workbookView xWindow="-98" yWindow="-98" windowWidth="21795" windowHeight="12975" xr2:uid="{00000000-000D-0000-FFFF-FFFF00000000}"/>
  </bookViews>
  <sheets>
    <sheet name="Resumen_Total" sheetId="1" r:id="rId1"/>
    <sheet name="Costos_por_Ciudad" sheetId="2" r:id="rId2"/>
    <sheet name="Costos_por_Tecnico" sheetId="3" r:id="rId3"/>
    <sheet name="Plan_Diario" sheetId="4" r:id="rId4"/>
    <sheet name="Demanda_y_Materiales" sheetId="5" r:id="rId5"/>
    <sheet name="Parametr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5" i="1"/>
  <c r="M14" i="1"/>
  <c r="M12" i="1"/>
</calcChain>
</file>

<file path=xl/sharedStrings.xml><?xml version="1.0" encoding="utf-8"?>
<sst xmlns="http://schemas.openxmlformats.org/spreadsheetml/2006/main" count="760" uniqueCount="113">
  <si>
    <t>baseline_all_external_uf</t>
  </si>
  <si>
    <t>final_total_uf</t>
  </si>
  <si>
    <t>savings_uf</t>
  </si>
  <si>
    <t>n_internal_cities</t>
  </si>
  <si>
    <t>n_external_cities</t>
  </si>
  <si>
    <t>santiago_gps_total</t>
  </si>
  <si>
    <t>santiago_gps_internal</t>
  </si>
  <si>
    <t>santiago_gps_external</t>
  </si>
  <si>
    <t>sum_viaje_uf</t>
  </si>
  <si>
    <t>sum_aloj_uf</t>
  </si>
  <si>
    <t>sum_alm_uf</t>
  </si>
  <si>
    <t>sum_inc_uf</t>
  </si>
  <si>
    <t>sum_sueldo_uf</t>
  </si>
  <si>
    <t>sum_flete_uf</t>
  </si>
  <si>
    <t>sum_pxq_total_uf</t>
  </si>
  <si>
    <t>sum_material_uf</t>
  </si>
  <si>
    <t>sum_total_uf</t>
  </si>
  <si>
    <t>ciudad</t>
  </si>
  <si>
    <t>tipo_final</t>
  </si>
  <si>
    <t>responsable</t>
  </si>
  <si>
    <t>viaje_uf</t>
  </si>
  <si>
    <t>aloj_uf</t>
  </si>
  <si>
    <t>alm_uf</t>
  </si>
  <si>
    <t>inc_uf</t>
  </si>
  <si>
    <t>sueldo_uf</t>
  </si>
  <si>
    <t>flete_uf</t>
  </si>
  <si>
    <t>pxq_total_uf</t>
  </si>
  <si>
    <t>material_uf</t>
  </si>
  <si>
    <t>gps_total</t>
  </si>
  <si>
    <t>horas_instal_total</t>
  </si>
  <si>
    <t>horas_instal_sim</t>
  </si>
  <si>
    <t>gps_inst_sim</t>
  </si>
  <si>
    <t>total_uf</t>
  </si>
  <si>
    <t>gps_externo</t>
  </si>
  <si>
    <t>Santiago</t>
  </si>
  <si>
    <t>mixto_scl</t>
  </si>
  <si>
    <t>MIXTO</t>
  </si>
  <si>
    <t>Valparaiso</t>
  </si>
  <si>
    <t>externo</t>
  </si>
  <si>
    <t>Mejillones</t>
  </si>
  <si>
    <t>interno</t>
  </si>
  <si>
    <t>Luis</t>
  </si>
  <si>
    <t>San Vicente</t>
  </si>
  <si>
    <t>Wilmer</t>
  </si>
  <si>
    <t>Iquique</t>
  </si>
  <si>
    <t>Jimmy</t>
  </si>
  <si>
    <t>Puerto Montt</t>
  </si>
  <si>
    <t>Orlando</t>
  </si>
  <si>
    <t>Lautaro</t>
  </si>
  <si>
    <t>Fabian D.</t>
  </si>
  <si>
    <t>San Fernando</t>
  </si>
  <si>
    <t>Punta Arenas</t>
  </si>
  <si>
    <t>Antofagasta</t>
  </si>
  <si>
    <t>Carlos</t>
  </si>
  <si>
    <t>Caldera</t>
  </si>
  <si>
    <t>Efrain</t>
  </si>
  <si>
    <t>Coquimbo</t>
  </si>
  <si>
    <t>Arica</t>
  </si>
  <si>
    <t>Puerto Aysen</t>
  </si>
  <si>
    <t>Concepción</t>
  </si>
  <si>
    <t>Linares</t>
  </si>
  <si>
    <t>San Antonio</t>
  </si>
  <si>
    <t>Calama</t>
  </si>
  <si>
    <t>Puerto Natales</t>
  </si>
  <si>
    <t>Osorno</t>
  </si>
  <si>
    <t>Los Ángeles</t>
  </si>
  <si>
    <t>Castro</t>
  </si>
  <si>
    <t>Valdivia</t>
  </si>
  <si>
    <t>Copiapó</t>
  </si>
  <si>
    <t>Coronel</t>
  </si>
  <si>
    <t>Talca</t>
  </si>
  <si>
    <t>Puerto Williams</t>
  </si>
  <si>
    <t>Chillán</t>
  </si>
  <si>
    <t>Pichirropulli</t>
  </si>
  <si>
    <t>Ovalle</t>
  </si>
  <si>
    <t>Romeral</t>
  </si>
  <si>
    <t>tipo</t>
  </si>
  <si>
    <t>travel_uf</t>
  </si>
  <si>
    <t>ciudades_regiones</t>
  </si>
  <si>
    <t>santiago_horas_asignadas</t>
  </si>
  <si>
    <t>INTERNO</t>
  </si>
  <si>
    <t>Iquique, Punta Arenas, Chillán</t>
  </si>
  <si>
    <t>San Vicente, Osorno, Puerto Aysen</t>
  </si>
  <si>
    <t>San Antonio, Lautaro, Puerto Natales, San Fernando</t>
  </si>
  <si>
    <t>Concepción, Puerto Montt, Calama</t>
  </si>
  <si>
    <t>Caldera, Coquimbo, Arica, Talca, Coronel, Puerto Williams, Los Ángeles, Castro</t>
  </si>
  <si>
    <t>Linares, Pichirropulli, Ovalle, Romeral, Copiapó, Valdivia, Antofagasta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</si>
  <si>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</si>
  <si>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</si>
  <si>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</si>
  <si>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</si>
  <si>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</si>
  <si>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</si>
  <si>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</si>
  <si>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</si>
  <si>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avion</t>
  </si>
  <si>
    <t>vehiculos_1gps</t>
  </si>
  <si>
    <t>vehiculos_2gps</t>
  </si>
  <si>
    <t>horas</t>
  </si>
  <si>
    <t>pxq_uf_gps</t>
  </si>
  <si>
    <t>parametro</t>
  </si>
  <si>
    <t>valor</t>
  </si>
  <si>
    <t>valor_uf</t>
  </si>
  <si>
    <t>precio_bencina</t>
  </si>
  <si>
    <t>alojamiento_uf_noche</t>
  </si>
  <si>
    <t>almuerzo_uf_dia</t>
  </si>
  <si>
    <t>incentivo_por_gps</t>
  </si>
  <si>
    <t>costo_intra_ciudad</t>
  </si>
  <si>
    <t>horas_jornada</t>
  </si>
  <si>
    <t>tiempo_instalacion_gps</t>
  </si>
  <si>
    <t>dias_semana</t>
  </si>
  <si>
    <t>semanas_proyecto</t>
  </si>
  <si>
    <t>velocidad_terrestre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</si>
</sst>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  <xf numFmtId="42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N16" sqref="N16"/>
    </sheetView>
  </sheetViews>
  <sheetFormatPr baseColWidth="10" defaultColWidth="9.06640625" defaultRowHeight="14.25" x14ac:dyDescent="0.45"/>
  <cols>
    <col min="13" max="13" width="12.597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>
        <v>3443.2603037974691</v>
      </c>
      <c r="B2">
        <v>3016.900303797468</v>
      </c>
      <c r="C2">
        <v>426.36000000000013</v>
      </c>
      <c r="D2">
        <v>29</v>
      </c>
      <c r="E2">
        <v>1</v>
      </c>
      <c r="F2">
        <v>191</v>
      </c>
      <c r="G2">
        <v>56</v>
      </c>
      <c r="H2">
        <v>135</v>
      </c>
      <c r="I2">
        <v>0</v>
      </c>
      <c r="J2">
        <v>167.1999999999999</v>
      </c>
      <c r="K2">
        <v>84</v>
      </c>
      <c r="L2">
        <v>650.72000000000014</v>
      </c>
      <c r="M2">
        <v>48.019999999999989</v>
      </c>
      <c r="N2">
        <v>20.960303797468359</v>
      </c>
      <c r="O2">
        <v>783</v>
      </c>
      <c r="P2">
        <v>1263</v>
      </c>
      <c r="Q2">
        <v>3016.900303797468</v>
      </c>
    </row>
    <row r="12" spans="1:17" x14ac:dyDescent="0.45">
      <c r="M12" s="2">
        <f>Q2*39500</f>
        <v>119167561.99999999</v>
      </c>
    </row>
    <row r="13" spans="1:17" x14ac:dyDescent="0.45">
      <c r="M13" s="2">
        <v>51000000</v>
      </c>
    </row>
    <row r="14" spans="1:17" x14ac:dyDescent="0.45">
      <c r="M14" s="3">
        <f>M12-M13</f>
        <v>68167561.999999985</v>
      </c>
    </row>
    <row r="15" spans="1:17" x14ac:dyDescent="0.45">
      <c r="M15" s="2">
        <f>0.5*450*39500</f>
        <v>8887500</v>
      </c>
    </row>
    <row r="16" spans="1:17" x14ac:dyDescent="0.45">
      <c r="M16">
        <f>M14/M15</f>
        <v>7.670049170182839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/>
  </sheetViews>
  <sheetFormatPr baseColWidth="10" defaultColWidth="9.06640625" defaultRowHeight="14.25" x14ac:dyDescent="0.45"/>
  <sheetData>
    <row r="1" spans="1:17" x14ac:dyDescent="0.4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45">
      <c r="A2" t="s">
        <v>34</v>
      </c>
      <c r="B2" t="s">
        <v>35</v>
      </c>
      <c r="C2" t="s">
        <v>36</v>
      </c>
      <c r="D2">
        <v>0</v>
      </c>
      <c r="E2">
        <v>0</v>
      </c>
      <c r="F2">
        <v>6</v>
      </c>
      <c r="G2">
        <v>62.720000000000013</v>
      </c>
      <c r="H2">
        <v>3.43</v>
      </c>
      <c r="I2">
        <v>0</v>
      </c>
      <c r="J2">
        <v>405</v>
      </c>
      <c r="K2">
        <v>286.5</v>
      </c>
      <c r="L2">
        <v>191</v>
      </c>
      <c r="M2">
        <v>143.25</v>
      </c>
      <c r="N2">
        <v>42</v>
      </c>
      <c r="O2">
        <v>56</v>
      </c>
      <c r="P2">
        <v>763.65</v>
      </c>
      <c r="Q2">
        <v>135</v>
      </c>
    </row>
    <row r="3" spans="1:17" x14ac:dyDescent="0.45">
      <c r="A3" t="s">
        <v>37</v>
      </c>
      <c r="B3" t="s">
        <v>38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0.3468101265822785</v>
      </c>
      <c r="J3">
        <v>378</v>
      </c>
      <c r="K3">
        <v>189</v>
      </c>
      <c r="L3">
        <v>126</v>
      </c>
      <c r="M3">
        <v>94.5</v>
      </c>
      <c r="P3">
        <v>567.34681012658234</v>
      </c>
    </row>
    <row r="4" spans="1:17" x14ac:dyDescent="0.45">
      <c r="A4" t="s">
        <v>39</v>
      </c>
      <c r="B4" t="s">
        <v>40</v>
      </c>
      <c r="C4" t="s">
        <v>41</v>
      </c>
      <c r="D4">
        <v>0</v>
      </c>
      <c r="E4">
        <v>26.4</v>
      </c>
      <c r="F4">
        <v>12</v>
      </c>
      <c r="G4">
        <v>115.36</v>
      </c>
      <c r="H4">
        <v>6.8599999999999994</v>
      </c>
      <c r="I4">
        <v>0.35356962025316457</v>
      </c>
      <c r="J4">
        <v>0</v>
      </c>
      <c r="K4">
        <v>154.5</v>
      </c>
      <c r="L4">
        <v>103</v>
      </c>
      <c r="M4">
        <v>77.25</v>
      </c>
      <c r="N4">
        <v>77.25</v>
      </c>
      <c r="O4">
        <v>103</v>
      </c>
      <c r="P4">
        <v>315.47356962025322</v>
      </c>
    </row>
    <row r="5" spans="1:17" x14ac:dyDescent="0.45">
      <c r="A5" t="s">
        <v>42</v>
      </c>
      <c r="B5" t="s">
        <v>40</v>
      </c>
      <c r="C5" t="s">
        <v>43</v>
      </c>
      <c r="D5">
        <v>0</v>
      </c>
      <c r="E5">
        <v>18.7</v>
      </c>
      <c r="F5">
        <v>8.5</v>
      </c>
      <c r="G5">
        <v>79.52000000000001</v>
      </c>
      <c r="H5">
        <v>4.8591666666666669</v>
      </c>
      <c r="I5">
        <v>0.3468101265822785</v>
      </c>
      <c r="J5">
        <v>0</v>
      </c>
      <c r="K5">
        <v>106.5</v>
      </c>
      <c r="L5">
        <v>71</v>
      </c>
      <c r="M5">
        <v>53.25</v>
      </c>
      <c r="N5">
        <v>53.25</v>
      </c>
      <c r="O5">
        <v>71</v>
      </c>
      <c r="P5">
        <v>218.42597679324899</v>
      </c>
    </row>
    <row r="6" spans="1:17" x14ac:dyDescent="0.45">
      <c r="A6" t="s">
        <v>44</v>
      </c>
      <c r="B6" t="s">
        <v>40</v>
      </c>
      <c r="C6" t="s">
        <v>45</v>
      </c>
      <c r="D6">
        <v>0</v>
      </c>
      <c r="E6">
        <v>16.5</v>
      </c>
      <c r="F6">
        <v>7.5</v>
      </c>
      <c r="G6">
        <v>71.680000000000007</v>
      </c>
      <c r="H6">
        <v>4.2874999999999996</v>
      </c>
      <c r="I6">
        <v>1.5350379746835441</v>
      </c>
      <c r="J6">
        <v>0</v>
      </c>
      <c r="K6">
        <v>96</v>
      </c>
      <c r="L6">
        <v>64</v>
      </c>
      <c r="M6">
        <v>48</v>
      </c>
      <c r="N6">
        <v>48</v>
      </c>
      <c r="O6">
        <v>64</v>
      </c>
      <c r="P6">
        <v>197.50253797468349</v>
      </c>
    </row>
    <row r="7" spans="1:17" x14ac:dyDescent="0.45">
      <c r="A7" t="s">
        <v>46</v>
      </c>
      <c r="B7" t="s">
        <v>40</v>
      </c>
      <c r="C7" t="s">
        <v>47</v>
      </c>
      <c r="D7">
        <v>0</v>
      </c>
      <c r="E7">
        <v>16.5</v>
      </c>
      <c r="F7">
        <v>7.5</v>
      </c>
      <c r="G7">
        <v>68.320000000000007</v>
      </c>
      <c r="H7">
        <v>4.2874999999999996</v>
      </c>
      <c r="I7">
        <v>0.41706329113924051</v>
      </c>
      <c r="J7">
        <v>0</v>
      </c>
      <c r="K7">
        <v>91.5</v>
      </c>
      <c r="L7">
        <v>61</v>
      </c>
      <c r="M7">
        <v>45.75</v>
      </c>
      <c r="N7">
        <v>45.75</v>
      </c>
      <c r="O7">
        <v>61.000000000000007</v>
      </c>
      <c r="P7">
        <v>188.52456329113929</v>
      </c>
    </row>
    <row r="8" spans="1:17" x14ac:dyDescent="0.45">
      <c r="A8" t="s">
        <v>48</v>
      </c>
      <c r="B8" t="s">
        <v>40</v>
      </c>
      <c r="C8" t="s">
        <v>49</v>
      </c>
      <c r="D8">
        <v>0</v>
      </c>
      <c r="E8">
        <v>9.9</v>
      </c>
      <c r="F8">
        <v>4.5</v>
      </c>
      <c r="G8">
        <v>39.200000000000003</v>
      </c>
      <c r="H8">
        <v>2.5724999999999998</v>
      </c>
      <c r="I8">
        <v>0.39508860759493669</v>
      </c>
      <c r="J8">
        <v>0</v>
      </c>
      <c r="K8">
        <v>52.5</v>
      </c>
      <c r="L8">
        <v>35</v>
      </c>
      <c r="M8">
        <v>26.25</v>
      </c>
      <c r="N8">
        <v>26.25</v>
      </c>
      <c r="O8">
        <v>35</v>
      </c>
      <c r="P8">
        <v>109.0675886075949</v>
      </c>
    </row>
    <row r="9" spans="1:17" x14ac:dyDescent="0.45">
      <c r="A9" t="s">
        <v>50</v>
      </c>
      <c r="B9" t="s">
        <v>40</v>
      </c>
      <c r="C9" t="s">
        <v>49</v>
      </c>
      <c r="D9">
        <v>0</v>
      </c>
      <c r="E9">
        <v>9.9</v>
      </c>
      <c r="F9">
        <v>4.5</v>
      </c>
      <c r="G9">
        <v>39.200000000000003</v>
      </c>
      <c r="H9">
        <v>2.5724999999999998</v>
      </c>
      <c r="I9">
        <v>0.3468101265822785</v>
      </c>
      <c r="J9">
        <v>0</v>
      </c>
      <c r="K9">
        <v>52.5</v>
      </c>
      <c r="L9">
        <v>35</v>
      </c>
      <c r="M9">
        <v>26.25</v>
      </c>
      <c r="N9">
        <v>26.25</v>
      </c>
      <c r="O9">
        <v>35</v>
      </c>
      <c r="P9">
        <v>109.0193101265823</v>
      </c>
    </row>
    <row r="10" spans="1:17" x14ac:dyDescent="0.45">
      <c r="A10" t="s">
        <v>51</v>
      </c>
      <c r="B10" t="s">
        <v>40</v>
      </c>
      <c r="C10" t="s">
        <v>45</v>
      </c>
      <c r="D10">
        <v>0</v>
      </c>
      <c r="E10">
        <v>7.7000000000000011</v>
      </c>
      <c r="F10">
        <v>3.5</v>
      </c>
      <c r="G10">
        <v>31.36000000000001</v>
      </c>
      <c r="H10">
        <v>2.000833333333333</v>
      </c>
      <c r="I10">
        <v>1.6867594936708861</v>
      </c>
      <c r="J10">
        <v>0</v>
      </c>
      <c r="K10">
        <v>42</v>
      </c>
      <c r="L10">
        <v>28</v>
      </c>
      <c r="M10">
        <v>21</v>
      </c>
      <c r="N10">
        <v>21</v>
      </c>
      <c r="O10">
        <v>28</v>
      </c>
      <c r="P10">
        <v>88.247592827004226</v>
      </c>
    </row>
    <row r="11" spans="1:17" x14ac:dyDescent="0.45">
      <c r="A11" t="s">
        <v>52</v>
      </c>
      <c r="B11" t="s">
        <v>40</v>
      </c>
      <c r="C11" t="s">
        <v>53</v>
      </c>
      <c r="D11">
        <v>0</v>
      </c>
      <c r="E11">
        <v>6.6000000000000014</v>
      </c>
      <c r="F11">
        <v>3</v>
      </c>
      <c r="G11">
        <v>24.64</v>
      </c>
      <c r="H11">
        <v>1.7150000000000001</v>
      </c>
      <c r="I11">
        <v>1.2976708860759489</v>
      </c>
      <c r="J11">
        <v>0</v>
      </c>
      <c r="K11">
        <v>33</v>
      </c>
      <c r="L11">
        <v>22</v>
      </c>
      <c r="M11">
        <v>16.5</v>
      </c>
      <c r="N11">
        <v>16.5</v>
      </c>
      <c r="O11">
        <v>22</v>
      </c>
      <c r="P11">
        <v>70.252670886075961</v>
      </c>
    </row>
    <row r="12" spans="1:17" x14ac:dyDescent="0.45">
      <c r="A12" t="s">
        <v>54</v>
      </c>
      <c r="B12" t="s">
        <v>40</v>
      </c>
      <c r="C12" t="s">
        <v>55</v>
      </c>
      <c r="D12">
        <v>0</v>
      </c>
      <c r="E12">
        <v>6.6000000000000014</v>
      </c>
      <c r="F12">
        <v>3</v>
      </c>
      <c r="G12">
        <v>24.64</v>
      </c>
      <c r="H12">
        <v>1.7150000000000001</v>
      </c>
      <c r="I12">
        <v>0.37516455696202528</v>
      </c>
      <c r="J12">
        <v>0</v>
      </c>
      <c r="K12">
        <v>33</v>
      </c>
      <c r="L12">
        <v>22</v>
      </c>
      <c r="M12">
        <v>16.5</v>
      </c>
      <c r="N12">
        <v>16.5</v>
      </c>
      <c r="O12">
        <v>22</v>
      </c>
      <c r="P12">
        <v>69.330164556962046</v>
      </c>
    </row>
    <row r="13" spans="1:17" x14ac:dyDescent="0.45">
      <c r="A13" t="s">
        <v>56</v>
      </c>
      <c r="B13" t="s">
        <v>40</v>
      </c>
      <c r="C13" t="s">
        <v>55</v>
      </c>
      <c r="D13">
        <v>0</v>
      </c>
      <c r="E13">
        <v>4.4000000000000004</v>
      </c>
      <c r="F13">
        <v>2</v>
      </c>
      <c r="G13">
        <v>15.68</v>
      </c>
      <c r="H13">
        <v>1.1433333333333331</v>
      </c>
      <c r="I13">
        <v>0.3681518987341772</v>
      </c>
      <c r="J13">
        <v>0</v>
      </c>
      <c r="K13">
        <v>21</v>
      </c>
      <c r="L13">
        <v>14</v>
      </c>
      <c r="M13">
        <v>10.5</v>
      </c>
      <c r="N13">
        <v>10.5</v>
      </c>
      <c r="O13">
        <v>14</v>
      </c>
      <c r="P13">
        <v>44.591485232067512</v>
      </c>
    </row>
    <row r="14" spans="1:17" x14ac:dyDescent="0.45">
      <c r="A14" t="s">
        <v>57</v>
      </c>
      <c r="B14" t="s">
        <v>40</v>
      </c>
      <c r="C14" t="s">
        <v>55</v>
      </c>
      <c r="D14">
        <v>0</v>
      </c>
      <c r="E14">
        <v>4.4000000000000004</v>
      </c>
      <c r="F14">
        <v>2</v>
      </c>
      <c r="G14">
        <v>13.44</v>
      </c>
      <c r="H14">
        <v>1.1433333333333331</v>
      </c>
      <c r="I14">
        <v>1.6867594936708861</v>
      </c>
      <c r="J14">
        <v>0</v>
      </c>
      <c r="K14">
        <v>18</v>
      </c>
      <c r="L14">
        <v>12</v>
      </c>
      <c r="M14">
        <v>9</v>
      </c>
      <c r="N14">
        <v>9</v>
      </c>
      <c r="O14">
        <v>12</v>
      </c>
      <c r="P14">
        <v>40.670092827004233</v>
      </c>
    </row>
    <row r="15" spans="1:17" x14ac:dyDescent="0.45">
      <c r="A15" t="s">
        <v>58</v>
      </c>
      <c r="B15" t="s">
        <v>40</v>
      </c>
      <c r="C15" t="s">
        <v>43</v>
      </c>
      <c r="D15">
        <v>0</v>
      </c>
      <c r="E15">
        <v>4.4000000000000004</v>
      </c>
      <c r="F15">
        <v>2</v>
      </c>
      <c r="G15">
        <v>11.2</v>
      </c>
      <c r="H15">
        <v>1.1433333333333331</v>
      </c>
      <c r="I15">
        <v>1.6867594936708861</v>
      </c>
      <c r="J15">
        <v>0</v>
      </c>
      <c r="K15">
        <v>15</v>
      </c>
      <c r="L15">
        <v>10</v>
      </c>
      <c r="M15">
        <v>7.5</v>
      </c>
      <c r="N15">
        <v>7.5</v>
      </c>
      <c r="O15">
        <v>10</v>
      </c>
      <c r="P15">
        <v>35.430092827004223</v>
      </c>
    </row>
    <row r="16" spans="1:17" x14ac:dyDescent="0.45">
      <c r="A16" t="s">
        <v>59</v>
      </c>
      <c r="B16" t="s">
        <v>40</v>
      </c>
      <c r="C16" t="s">
        <v>47</v>
      </c>
      <c r="D16">
        <v>0</v>
      </c>
      <c r="E16">
        <v>3.3</v>
      </c>
      <c r="F16">
        <v>1.5</v>
      </c>
      <c r="G16">
        <v>10.08</v>
      </c>
      <c r="H16">
        <v>0.85749999999999993</v>
      </c>
      <c r="I16">
        <v>0.35898734177215191</v>
      </c>
      <c r="J16">
        <v>0</v>
      </c>
      <c r="K16">
        <v>13.5</v>
      </c>
      <c r="L16">
        <v>9</v>
      </c>
      <c r="M16">
        <v>6.75</v>
      </c>
      <c r="N16">
        <v>6.75</v>
      </c>
      <c r="O16">
        <v>9</v>
      </c>
      <c r="P16">
        <v>29.59648734177215</v>
      </c>
    </row>
    <row r="17" spans="1:16" x14ac:dyDescent="0.45">
      <c r="A17" t="s">
        <v>60</v>
      </c>
      <c r="B17" t="s">
        <v>40</v>
      </c>
      <c r="C17" t="s">
        <v>53</v>
      </c>
      <c r="D17">
        <v>0</v>
      </c>
      <c r="E17">
        <v>3.3</v>
      </c>
      <c r="F17">
        <v>1.5</v>
      </c>
      <c r="G17">
        <v>6.7200000000000006</v>
      </c>
      <c r="H17">
        <v>0.85749999999999993</v>
      </c>
      <c r="I17">
        <v>0.35356962025316457</v>
      </c>
      <c r="J17">
        <v>0</v>
      </c>
      <c r="K17">
        <v>9</v>
      </c>
      <c r="L17">
        <v>6</v>
      </c>
      <c r="M17">
        <v>4.5</v>
      </c>
      <c r="N17">
        <v>4.5</v>
      </c>
      <c r="O17">
        <v>6</v>
      </c>
      <c r="P17">
        <v>21.731069620253169</v>
      </c>
    </row>
    <row r="18" spans="1:16" x14ac:dyDescent="0.45">
      <c r="A18" t="s">
        <v>61</v>
      </c>
      <c r="B18" t="s">
        <v>40</v>
      </c>
      <c r="C18" t="s">
        <v>49</v>
      </c>
      <c r="D18">
        <v>0</v>
      </c>
      <c r="E18">
        <v>2.2000000000000002</v>
      </c>
      <c r="F18">
        <v>1</v>
      </c>
      <c r="G18">
        <v>4.4800000000000004</v>
      </c>
      <c r="H18">
        <v>0.57166666666666666</v>
      </c>
      <c r="I18">
        <v>0.3468101265822785</v>
      </c>
      <c r="J18">
        <v>0</v>
      </c>
      <c r="K18">
        <v>6</v>
      </c>
      <c r="L18">
        <v>4</v>
      </c>
      <c r="M18">
        <v>3</v>
      </c>
      <c r="N18">
        <v>3</v>
      </c>
      <c r="O18">
        <v>4</v>
      </c>
      <c r="P18">
        <v>14.598476793248951</v>
      </c>
    </row>
    <row r="19" spans="1:16" x14ac:dyDescent="0.45">
      <c r="A19" t="s">
        <v>62</v>
      </c>
      <c r="B19" t="s">
        <v>40</v>
      </c>
      <c r="C19" t="s">
        <v>47</v>
      </c>
      <c r="D19">
        <v>0</v>
      </c>
      <c r="E19">
        <v>0</v>
      </c>
      <c r="F19">
        <v>1</v>
      </c>
      <c r="G19">
        <v>4.4800000000000004</v>
      </c>
      <c r="H19">
        <v>0.57166666666666666</v>
      </c>
      <c r="I19">
        <v>1.5350379746835441</v>
      </c>
      <c r="J19">
        <v>0</v>
      </c>
      <c r="K19">
        <v>6</v>
      </c>
      <c r="L19">
        <v>4</v>
      </c>
      <c r="M19">
        <v>3</v>
      </c>
      <c r="N19">
        <v>3</v>
      </c>
      <c r="O19">
        <v>4</v>
      </c>
      <c r="P19">
        <v>13.586704641350209</v>
      </c>
    </row>
    <row r="20" spans="1:16" x14ac:dyDescent="0.45">
      <c r="A20" t="s">
        <v>63</v>
      </c>
      <c r="B20" t="s">
        <v>40</v>
      </c>
      <c r="C20" t="s">
        <v>49</v>
      </c>
      <c r="D20">
        <v>0</v>
      </c>
      <c r="E20">
        <v>2.2000000000000002</v>
      </c>
      <c r="F20">
        <v>1</v>
      </c>
      <c r="G20">
        <v>3.36</v>
      </c>
      <c r="H20">
        <v>0.57166666666666666</v>
      </c>
      <c r="I20">
        <v>1.6867594936708861</v>
      </c>
      <c r="J20">
        <v>0</v>
      </c>
      <c r="K20">
        <v>4.5</v>
      </c>
      <c r="L20">
        <v>3</v>
      </c>
      <c r="M20">
        <v>2.25</v>
      </c>
      <c r="N20">
        <v>2.25</v>
      </c>
      <c r="O20">
        <v>3</v>
      </c>
      <c r="P20">
        <v>13.31842616033755</v>
      </c>
    </row>
    <row r="21" spans="1:16" x14ac:dyDescent="0.45">
      <c r="A21" t="s">
        <v>64</v>
      </c>
      <c r="B21" t="s">
        <v>40</v>
      </c>
      <c r="C21" t="s">
        <v>43</v>
      </c>
      <c r="D21">
        <v>0</v>
      </c>
      <c r="E21">
        <v>2.2000000000000002</v>
      </c>
      <c r="F21">
        <v>1</v>
      </c>
      <c r="G21">
        <v>3.36</v>
      </c>
      <c r="H21">
        <v>0.57166666666666666</v>
      </c>
      <c r="I21">
        <v>0.39508860759493669</v>
      </c>
      <c r="J21">
        <v>0</v>
      </c>
      <c r="K21">
        <v>4.5</v>
      </c>
      <c r="L21">
        <v>3</v>
      </c>
      <c r="M21">
        <v>2.25</v>
      </c>
      <c r="N21">
        <v>2.25</v>
      </c>
      <c r="O21">
        <v>3</v>
      </c>
      <c r="P21">
        <v>12.0267552742616</v>
      </c>
    </row>
    <row r="22" spans="1:16" x14ac:dyDescent="0.45">
      <c r="A22" t="s">
        <v>65</v>
      </c>
      <c r="B22" t="s">
        <v>40</v>
      </c>
      <c r="C22" t="s">
        <v>55</v>
      </c>
      <c r="D22">
        <v>0</v>
      </c>
      <c r="E22">
        <v>2.2000000000000002</v>
      </c>
      <c r="F22">
        <v>1</v>
      </c>
      <c r="G22">
        <v>3.36</v>
      </c>
      <c r="H22">
        <v>0.57166666666666666</v>
      </c>
      <c r="I22">
        <v>0.35898734177215191</v>
      </c>
      <c r="J22">
        <v>0</v>
      </c>
      <c r="K22">
        <v>4.5</v>
      </c>
      <c r="L22">
        <v>3</v>
      </c>
      <c r="M22">
        <v>2.25</v>
      </c>
      <c r="N22">
        <v>2.25</v>
      </c>
      <c r="O22">
        <v>3</v>
      </c>
      <c r="P22">
        <v>11.99065400843882</v>
      </c>
    </row>
    <row r="23" spans="1:16" x14ac:dyDescent="0.45">
      <c r="A23" t="s">
        <v>66</v>
      </c>
      <c r="B23" t="s">
        <v>40</v>
      </c>
      <c r="C23" t="s">
        <v>55</v>
      </c>
      <c r="D23">
        <v>0</v>
      </c>
      <c r="E23">
        <v>2.2000000000000002</v>
      </c>
      <c r="F23">
        <v>1</v>
      </c>
      <c r="G23">
        <v>2.2400000000000002</v>
      </c>
      <c r="H23">
        <v>0.57166666666666666</v>
      </c>
      <c r="I23">
        <v>0.41706329113924051</v>
      </c>
      <c r="J23">
        <v>0</v>
      </c>
      <c r="K23">
        <v>3</v>
      </c>
      <c r="L23">
        <v>2</v>
      </c>
      <c r="M23">
        <v>1.5</v>
      </c>
      <c r="N23">
        <v>1.5</v>
      </c>
      <c r="O23">
        <v>2</v>
      </c>
      <c r="P23">
        <v>9.4287299578059063</v>
      </c>
    </row>
    <row r="24" spans="1:16" x14ac:dyDescent="0.45">
      <c r="A24" t="s">
        <v>67</v>
      </c>
      <c r="B24" t="s">
        <v>40</v>
      </c>
      <c r="C24" t="s">
        <v>53</v>
      </c>
      <c r="D24">
        <v>0</v>
      </c>
      <c r="E24">
        <v>2.2000000000000002</v>
      </c>
      <c r="F24">
        <v>1</v>
      </c>
      <c r="G24">
        <v>2.2400000000000002</v>
      </c>
      <c r="H24">
        <v>0.57166666666666666</v>
      </c>
      <c r="I24">
        <v>0.39508860759493669</v>
      </c>
      <c r="J24">
        <v>0</v>
      </c>
      <c r="K24">
        <v>3</v>
      </c>
      <c r="L24">
        <v>2</v>
      </c>
      <c r="M24">
        <v>1.5</v>
      </c>
      <c r="N24">
        <v>1.5</v>
      </c>
      <c r="O24">
        <v>2</v>
      </c>
      <c r="P24">
        <v>9.4067552742616023</v>
      </c>
    </row>
    <row r="25" spans="1:16" x14ac:dyDescent="0.45">
      <c r="A25" t="s">
        <v>68</v>
      </c>
      <c r="B25" t="s">
        <v>40</v>
      </c>
      <c r="C25" t="s">
        <v>53</v>
      </c>
      <c r="D25">
        <v>0</v>
      </c>
      <c r="E25">
        <v>2.2000000000000002</v>
      </c>
      <c r="F25">
        <v>1</v>
      </c>
      <c r="G25">
        <v>2.2400000000000002</v>
      </c>
      <c r="H25">
        <v>0.57166666666666666</v>
      </c>
      <c r="I25">
        <v>0.37516455696202528</v>
      </c>
      <c r="J25">
        <v>0</v>
      </c>
      <c r="K25">
        <v>3</v>
      </c>
      <c r="L25">
        <v>2</v>
      </c>
      <c r="M25">
        <v>1.5</v>
      </c>
      <c r="N25">
        <v>1.5</v>
      </c>
      <c r="O25">
        <v>2</v>
      </c>
      <c r="P25">
        <v>9.3868312236286933</v>
      </c>
    </row>
    <row r="26" spans="1:16" x14ac:dyDescent="0.45">
      <c r="A26" t="s">
        <v>69</v>
      </c>
      <c r="B26" t="s">
        <v>40</v>
      </c>
      <c r="C26" t="s">
        <v>55</v>
      </c>
      <c r="D26">
        <v>0</v>
      </c>
      <c r="E26">
        <v>2.2000000000000002</v>
      </c>
      <c r="F26">
        <v>1</v>
      </c>
      <c r="G26">
        <v>2.2400000000000002</v>
      </c>
      <c r="H26">
        <v>0.57166666666666666</v>
      </c>
      <c r="I26">
        <v>0.35898734177215191</v>
      </c>
      <c r="J26">
        <v>0</v>
      </c>
      <c r="K26">
        <v>3</v>
      </c>
      <c r="L26">
        <v>2</v>
      </c>
      <c r="M26">
        <v>1.5</v>
      </c>
      <c r="N26">
        <v>1.5</v>
      </c>
      <c r="O26">
        <v>2</v>
      </c>
      <c r="P26">
        <v>9.3706540084388195</v>
      </c>
    </row>
    <row r="27" spans="1:16" x14ac:dyDescent="0.45">
      <c r="A27" t="s">
        <v>70</v>
      </c>
      <c r="B27" t="s">
        <v>40</v>
      </c>
      <c r="C27" t="s">
        <v>55</v>
      </c>
      <c r="D27">
        <v>0</v>
      </c>
      <c r="E27">
        <v>2.2000000000000002</v>
      </c>
      <c r="F27">
        <v>1</v>
      </c>
      <c r="G27">
        <v>2.2400000000000002</v>
      </c>
      <c r="H27">
        <v>0.57166666666666666</v>
      </c>
      <c r="I27">
        <v>0.35356962025316457</v>
      </c>
      <c r="J27">
        <v>0</v>
      </c>
      <c r="K27">
        <v>3</v>
      </c>
      <c r="L27">
        <v>2</v>
      </c>
      <c r="M27">
        <v>1.5</v>
      </c>
      <c r="N27">
        <v>1.5</v>
      </c>
      <c r="O27">
        <v>2</v>
      </c>
      <c r="P27">
        <v>9.3652362869198313</v>
      </c>
    </row>
    <row r="28" spans="1:16" x14ac:dyDescent="0.45">
      <c r="A28" t="s">
        <v>71</v>
      </c>
      <c r="B28" t="s">
        <v>40</v>
      </c>
      <c r="C28" t="s">
        <v>55</v>
      </c>
      <c r="D28">
        <v>0</v>
      </c>
      <c r="E28">
        <v>2.2000000000000002</v>
      </c>
      <c r="F28">
        <v>1</v>
      </c>
      <c r="G28">
        <v>1.1200000000000001</v>
      </c>
      <c r="H28">
        <v>0.57166666666666666</v>
      </c>
      <c r="I28">
        <v>1.6867594936708861</v>
      </c>
      <c r="J28">
        <v>0</v>
      </c>
      <c r="K28">
        <v>1.5</v>
      </c>
      <c r="L28">
        <v>1</v>
      </c>
      <c r="M28">
        <v>0.75</v>
      </c>
      <c r="N28">
        <v>0.75</v>
      </c>
      <c r="O28">
        <v>1</v>
      </c>
      <c r="P28">
        <v>8.0784261603375533</v>
      </c>
    </row>
    <row r="29" spans="1:16" x14ac:dyDescent="0.45">
      <c r="A29" t="s">
        <v>72</v>
      </c>
      <c r="B29" t="s">
        <v>40</v>
      </c>
      <c r="C29" t="s">
        <v>45</v>
      </c>
      <c r="D29">
        <v>0</v>
      </c>
      <c r="E29">
        <v>0</v>
      </c>
      <c r="F29">
        <v>1</v>
      </c>
      <c r="G29">
        <v>2.2400000000000002</v>
      </c>
      <c r="H29">
        <v>0.57166666666666666</v>
      </c>
      <c r="I29">
        <v>0.35898734177215191</v>
      </c>
      <c r="J29">
        <v>0</v>
      </c>
      <c r="K29">
        <v>3</v>
      </c>
      <c r="L29">
        <v>2</v>
      </c>
      <c r="M29">
        <v>1.5</v>
      </c>
      <c r="N29">
        <v>1.5</v>
      </c>
      <c r="O29">
        <v>2</v>
      </c>
      <c r="P29">
        <v>7.1706540084388193</v>
      </c>
    </row>
    <row r="30" spans="1:16" x14ac:dyDescent="0.45">
      <c r="A30" t="s">
        <v>73</v>
      </c>
      <c r="B30" t="s">
        <v>40</v>
      </c>
      <c r="C30" t="s">
        <v>53</v>
      </c>
      <c r="D30">
        <v>0</v>
      </c>
      <c r="E30">
        <v>2.2000000000000002</v>
      </c>
      <c r="F30">
        <v>1</v>
      </c>
      <c r="G30">
        <v>1.1200000000000001</v>
      </c>
      <c r="H30">
        <v>0.57166666666666666</v>
      </c>
      <c r="I30">
        <v>0.39508860759493669</v>
      </c>
      <c r="J30">
        <v>0</v>
      </c>
      <c r="K30">
        <v>1.5</v>
      </c>
      <c r="L30">
        <v>1</v>
      </c>
      <c r="M30">
        <v>0.75</v>
      </c>
      <c r="N30">
        <v>0.75</v>
      </c>
      <c r="O30">
        <v>1</v>
      </c>
      <c r="P30">
        <v>6.7867552742616031</v>
      </c>
    </row>
    <row r="31" spans="1:16" x14ac:dyDescent="0.45">
      <c r="A31" t="s">
        <v>74</v>
      </c>
      <c r="B31" t="s">
        <v>40</v>
      </c>
      <c r="C31" t="s">
        <v>53</v>
      </c>
      <c r="D31">
        <v>0</v>
      </c>
      <c r="E31">
        <v>2.2000000000000002</v>
      </c>
      <c r="F31">
        <v>1</v>
      </c>
      <c r="G31">
        <v>1.1200000000000001</v>
      </c>
      <c r="H31">
        <v>0.57166666666666666</v>
      </c>
      <c r="I31">
        <v>0.39508860759493669</v>
      </c>
      <c r="J31">
        <v>0</v>
      </c>
      <c r="K31">
        <v>1.5</v>
      </c>
      <c r="L31">
        <v>1</v>
      </c>
      <c r="M31">
        <v>0.75</v>
      </c>
      <c r="N31">
        <v>0.75</v>
      </c>
      <c r="O31">
        <v>1</v>
      </c>
      <c r="P31">
        <v>6.7867552742616031</v>
      </c>
    </row>
    <row r="32" spans="1:16" x14ac:dyDescent="0.45">
      <c r="A32" t="s">
        <v>75</v>
      </c>
      <c r="B32" t="s">
        <v>40</v>
      </c>
      <c r="C32" t="s">
        <v>53</v>
      </c>
      <c r="D32">
        <v>0</v>
      </c>
      <c r="E32">
        <v>2.2000000000000002</v>
      </c>
      <c r="F32">
        <v>1</v>
      </c>
      <c r="G32">
        <v>1.1200000000000001</v>
      </c>
      <c r="H32">
        <v>0.57166666666666666</v>
      </c>
      <c r="I32">
        <v>0.3468101265822785</v>
      </c>
      <c r="J32">
        <v>0</v>
      </c>
      <c r="K32">
        <v>1.5</v>
      </c>
      <c r="L32">
        <v>1</v>
      </c>
      <c r="M32">
        <v>0.75</v>
      </c>
      <c r="N32">
        <v>0.75</v>
      </c>
      <c r="O32">
        <v>1</v>
      </c>
      <c r="P32">
        <v>6.7384767932489451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baseColWidth="10" defaultColWidth="9.06640625" defaultRowHeight="14.25" x14ac:dyDescent="0.45"/>
  <cols>
    <col min="11" max="11" width="62.6640625" bestFit="1" customWidth="1"/>
    <col min="12" max="12" width="22.06640625" bestFit="1" customWidth="1"/>
  </cols>
  <sheetData>
    <row r="1" spans="1:12" x14ac:dyDescent="0.45">
      <c r="A1" s="1" t="s">
        <v>19</v>
      </c>
      <c r="B1" s="1" t="s">
        <v>76</v>
      </c>
      <c r="C1" s="1" t="s">
        <v>77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27</v>
      </c>
      <c r="J1" s="1" t="s">
        <v>32</v>
      </c>
      <c r="K1" s="1" t="s">
        <v>78</v>
      </c>
      <c r="L1" s="1" t="s">
        <v>79</v>
      </c>
    </row>
    <row r="2" spans="1:12" x14ac:dyDescent="0.45">
      <c r="A2" t="s">
        <v>41</v>
      </c>
      <c r="B2" t="s">
        <v>80</v>
      </c>
      <c r="C2">
        <v>0</v>
      </c>
      <c r="D2">
        <v>26.400000000000009</v>
      </c>
      <c r="E2">
        <v>12</v>
      </c>
      <c r="F2">
        <v>115.3600000000001</v>
      </c>
      <c r="G2">
        <v>6.8600000000000021</v>
      </c>
      <c r="H2">
        <v>0.35356962025316457</v>
      </c>
      <c r="I2">
        <v>154.5</v>
      </c>
      <c r="J2">
        <v>315.47356962025322</v>
      </c>
      <c r="K2" t="s">
        <v>39</v>
      </c>
      <c r="L2">
        <v>0</v>
      </c>
    </row>
    <row r="3" spans="1:12" x14ac:dyDescent="0.45">
      <c r="A3" t="s">
        <v>45</v>
      </c>
      <c r="B3" t="s">
        <v>80</v>
      </c>
      <c r="C3">
        <v>0</v>
      </c>
      <c r="D3">
        <v>24.20000000000001</v>
      </c>
      <c r="E3">
        <v>12</v>
      </c>
      <c r="F3">
        <v>105.28</v>
      </c>
      <c r="G3">
        <v>6.8600000000000021</v>
      </c>
      <c r="H3">
        <v>3.5807848101265818</v>
      </c>
      <c r="I3">
        <v>141</v>
      </c>
      <c r="J3">
        <v>292.92078481012658</v>
      </c>
      <c r="K3" t="s">
        <v>81</v>
      </c>
      <c r="L3">
        <v>0</v>
      </c>
    </row>
    <row r="4" spans="1:12" x14ac:dyDescent="0.45">
      <c r="A4" t="s">
        <v>43</v>
      </c>
      <c r="B4" t="s">
        <v>80</v>
      </c>
      <c r="C4">
        <v>0</v>
      </c>
      <c r="D4">
        <v>25.300000000000011</v>
      </c>
      <c r="E4">
        <v>12</v>
      </c>
      <c r="F4">
        <v>99.306666666666715</v>
      </c>
      <c r="G4">
        <v>6.8600000000000021</v>
      </c>
      <c r="H4">
        <v>2.4286582278481008</v>
      </c>
      <c r="I4">
        <v>126</v>
      </c>
      <c r="J4">
        <v>271.89532489451477</v>
      </c>
      <c r="K4" t="s">
        <v>82</v>
      </c>
      <c r="L4">
        <v>3.5</v>
      </c>
    </row>
    <row r="5" spans="1:12" x14ac:dyDescent="0.45">
      <c r="A5" t="s">
        <v>49</v>
      </c>
      <c r="B5" t="s">
        <v>80</v>
      </c>
      <c r="C5">
        <v>0</v>
      </c>
      <c r="D5">
        <v>24.20000000000001</v>
      </c>
      <c r="E5">
        <v>12</v>
      </c>
      <c r="F5">
        <v>96.693333333333356</v>
      </c>
      <c r="G5">
        <v>6.8600000000000012</v>
      </c>
      <c r="H5">
        <v>2.7754683544303802</v>
      </c>
      <c r="I5">
        <v>115.5</v>
      </c>
      <c r="J5">
        <v>258.0288016877638</v>
      </c>
      <c r="K5" t="s">
        <v>83</v>
      </c>
      <c r="L5">
        <v>7</v>
      </c>
    </row>
    <row r="6" spans="1:12" x14ac:dyDescent="0.45">
      <c r="A6" t="s">
        <v>47</v>
      </c>
      <c r="B6" t="s">
        <v>80</v>
      </c>
      <c r="C6">
        <v>0</v>
      </c>
      <c r="D6">
        <v>19.8</v>
      </c>
      <c r="E6">
        <v>12</v>
      </c>
      <c r="F6">
        <v>103.7866666666667</v>
      </c>
      <c r="G6">
        <v>6.8600000000000012</v>
      </c>
      <c r="H6">
        <v>2.3110886075949368</v>
      </c>
      <c r="I6">
        <v>111</v>
      </c>
      <c r="J6">
        <v>255.75775527426171</v>
      </c>
      <c r="K6" t="s">
        <v>84</v>
      </c>
      <c r="L6">
        <v>14</v>
      </c>
    </row>
    <row r="7" spans="1:12" x14ac:dyDescent="0.45">
      <c r="A7" t="s">
        <v>55</v>
      </c>
      <c r="B7" t="s">
        <v>80</v>
      </c>
      <c r="C7">
        <v>0</v>
      </c>
      <c r="D7">
        <v>26.400000000000009</v>
      </c>
      <c r="E7">
        <v>12</v>
      </c>
      <c r="F7">
        <v>64.960000000000008</v>
      </c>
      <c r="G7">
        <v>6.8600000000000021</v>
      </c>
      <c r="H7">
        <v>5.6054430379746831</v>
      </c>
      <c r="I7">
        <v>87</v>
      </c>
      <c r="J7">
        <v>202.82544303797471</v>
      </c>
      <c r="K7" t="s">
        <v>85</v>
      </c>
      <c r="L7">
        <v>0</v>
      </c>
    </row>
    <row r="8" spans="1:12" x14ac:dyDescent="0.45">
      <c r="A8" t="s">
        <v>53</v>
      </c>
      <c r="B8" t="s">
        <v>80</v>
      </c>
      <c r="C8">
        <v>0</v>
      </c>
      <c r="D8">
        <v>20.9</v>
      </c>
      <c r="E8">
        <v>12</v>
      </c>
      <c r="F8">
        <v>65.333333333333343</v>
      </c>
      <c r="G8">
        <v>6.8600000000000012</v>
      </c>
      <c r="H8">
        <v>3.5584810126582278</v>
      </c>
      <c r="I8">
        <v>52.5</v>
      </c>
      <c r="J8">
        <v>161.1518143459916</v>
      </c>
      <c r="K8" t="s">
        <v>86</v>
      </c>
      <c r="L8">
        <v>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9"/>
  <sheetViews>
    <sheetView workbookViewId="0"/>
  </sheetViews>
  <sheetFormatPr baseColWidth="10" defaultColWidth="9.06640625" defaultRowHeight="14.25" x14ac:dyDescent="0.45"/>
  <sheetData>
    <row r="1" spans="1:15" x14ac:dyDescent="0.4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20</v>
      </c>
      <c r="J1" s="1" t="s">
        <v>21</v>
      </c>
      <c r="K1" s="1" t="s">
        <v>22</v>
      </c>
      <c r="L1" s="1" t="s">
        <v>24</v>
      </c>
      <c r="M1" s="1" t="s">
        <v>23</v>
      </c>
      <c r="N1" s="1" t="s">
        <v>25</v>
      </c>
      <c r="O1" s="1" t="s">
        <v>27</v>
      </c>
    </row>
    <row r="2" spans="1:15" x14ac:dyDescent="0.45">
      <c r="A2" t="s">
        <v>53</v>
      </c>
      <c r="B2">
        <v>1</v>
      </c>
      <c r="C2" t="s">
        <v>60</v>
      </c>
      <c r="D2">
        <v>0</v>
      </c>
      <c r="E2">
        <v>0</v>
      </c>
      <c r="F2" t="s">
        <v>95</v>
      </c>
      <c r="G2">
        <v>20</v>
      </c>
      <c r="H2" t="s">
        <v>60</v>
      </c>
      <c r="I2">
        <v>0</v>
      </c>
      <c r="J2">
        <v>1.1000000000000001</v>
      </c>
      <c r="K2">
        <v>0.5</v>
      </c>
      <c r="L2">
        <v>0.28583333333333327</v>
      </c>
      <c r="M2">
        <v>0</v>
      </c>
      <c r="N2">
        <v>0.35356962025316457</v>
      </c>
      <c r="O2">
        <v>9</v>
      </c>
    </row>
    <row r="3" spans="1:15" x14ac:dyDescent="0.45">
      <c r="A3" t="s">
        <v>53</v>
      </c>
      <c r="B3">
        <v>2</v>
      </c>
      <c r="C3" t="s">
        <v>60</v>
      </c>
      <c r="D3">
        <v>3.5</v>
      </c>
      <c r="E3">
        <v>4.666666666666667</v>
      </c>
      <c r="G3">
        <v>0</v>
      </c>
      <c r="H3" t="s">
        <v>60</v>
      </c>
      <c r="I3">
        <v>0</v>
      </c>
      <c r="J3">
        <v>1.1000000000000001</v>
      </c>
      <c r="K3">
        <v>0.5</v>
      </c>
      <c r="L3">
        <v>0.28583333333333327</v>
      </c>
      <c r="M3">
        <v>5.2266666666666666</v>
      </c>
      <c r="N3">
        <v>0</v>
      </c>
      <c r="O3">
        <v>0</v>
      </c>
    </row>
    <row r="4" spans="1:15" x14ac:dyDescent="0.45">
      <c r="A4" t="s">
        <v>53</v>
      </c>
      <c r="B4">
        <v>3</v>
      </c>
      <c r="C4" t="s">
        <v>60</v>
      </c>
      <c r="D4">
        <v>1</v>
      </c>
      <c r="E4">
        <v>1.333333333333333</v>
      </c>
      <c r="G4">
        <v>0</v>
      </c>
      <c r="H4" t="s">
        <v>60</v>
      </c>
      <c r="I4">
        <v>0</v>
      </c>
      <c r="J4">
        <v>1.1000000000000001</v>
      </c>
      <c r="K4">
        <v>0.5</v>
      </c>
      <c r="L4">
        <v>0.28583333333333327</v>
      </c>
      <c r="M4">
        <v>1.493333333333333</v>
      </c>
      <c r="N4">
        <v>0</v>
      </c>
      <c r="O4">
        <v>0</v>
      </c>
    </row>
    <row r="5" spans="1:15" x14ac:dyDescent="0.45">
      <c r="A5" t="s">
        <v>53</v>
      </c>
      <c r="B5">
        <v>4</v>
      </c>
      <c r="C5" t="s">
        <v>73</v>
      </c>
      <c r="D5">
        <v>0</v>
      </c>
      <c r="E5">
        <v>0</v>
      </c>
      <c r="F5" t="s">
        <v>95</v>
      </c>
      <c r="G5">
        <v>20</v>
      </c>
      <c r="H5" t="s">
        <v>73</v>
      </c>
      <c r="I5">
        <v>0</v>
      </c>
      <c r="J5">
        <v>1.1000000000000001</v>
      </c>
      <c r="K5">
        <v>0.5</v>
      </c>
      <c r="L5">
        <v>0.28583333333333327</v>
      </c>
      <c r="M5">
        <v>0</v>
      </c>
      <c r="N5">
        <v>0.39508860759493669</v>
      </c>
      <c r="O5">
        <v>1.5</v>
      </c>
    </row>
    <row r="6" spans="1:15" x14ac:dyDescent="0.45">
      <c r="A6" t="s">
        <v>53</v>
      </c>
      <c r="B6">
        <v>5</v>
      </c>
      <c r="C6" t="s">
        <v>73</v>
      </c>
      <c r="D6">
        <v>0.75</v>
      </c>
      <c r="E6">
        <v>1</v>
      </c>
      <c r="G6">
        <v>0</v>
      </c>
      <c r="H6" t="s">
        <v>73</v>
      </c>
      <c r="I6">
        <v>0</v>
      </c>
      <c r="J6">
        <v>1.1000000000000001</v>
      </c>
      <c r="K6">
        <v>0.5</v>
      </c>
      <c r="L6">
        <v>0.28583333333333327</v>
      </c>
      <c r="M6">
        <v>1.1200000000000001</v>
      </c>
      <c r="N6">
        <v>0</v>
      </c>
      <c r="O6">
        <v>0</v>
      </c>
    </row>
    <row r="7" spans="1:15" x14ac:dyDescent="0.45">
      <c r="A7" t="s">
        <v>53</v>
      </c>
      <c r="B7">
        <v>6</v>
      </c>
      <c r="C7" t="s">
        <v>74</v>
      </c>
      <c r="D7">
        <v>0</v>
      </c>
      <c r="E7">
        <v>0</v>
      </c>
      <c r="F7" t="s">
        <v>95</v>
      </c>
      <c r="G7">
        <v>20</v>
      </c>
      <c r="H7" t="s">
        <v>74</v>
      </c>
      <c r="I7">
        <v>0</v>
      </c>
      <c r="J7">
        <v>1.1000000000000001</v>
      </c>
      <c r="K7">
        <v>0.5</v>
      </c>
      <c r="L7">
        <v>0.28583333333333327</v>
      </c>
      <c r="M7">
        <v>0</v>
      </c>
      <c r="N7">
        <v>0.39508860759493669</v>
      </c>
      <c r="O7">
        <v>1.5</v>
      </c>
    </row>
    <row r="8" spans="1:15" x14ac:dyDescent="0.45">
      <c r="A8" t="s">
        <v>53</v>
      </c>
      <c r="B8">
        <v>7</v>
      </c>
      <c r="C8" t="s">
        <v>74</v>
      </c>
      <c r="D8">
        <v>0.75</v>
      </c>
      <c r="E8">
        <v>1</v>
      </c>
      <c r="G8">
        <v>0</v>
      </c>
      <c r="H8" t="s">
        <v>74</v>
      </c>
      <c r="I8">
        <v>0</v>
      </c>
      <c r="J8">
        <v>1.1000000000000001</v>
      </c>
      <c r="K8">
        <v>0.5</v>
      </c>
      <c r="L8">
        <v>0.28583333333333327</v>
      </c>
      <c r="M8">
        <v>1.1200000000000001</v>
      </c>
      <c r="N8">
        <v>0</v>
      </c>
      <c r="O8">
        <v>0</v>
      </c>
    </row>
    <row r="9" spans="1:15" x14ac:dyDescent="0.45">
      <c r="A9" t="s">
        <v>53</v>
      </c>
      <c r="B9">
        <v>8</v>
      </c>
      <c r="C9" t="s">
        <v>75</v>
      </c>
      <c r="D9">
        <v>0</v>
      </c>
      <c r="E9">
        <v>0</v>
      </c>
      <c r="F9" t="s">
        <v>95</v>
      </c>
      <c r="G9">
        <v>20</v>
      </c>
      <c r="H9" t="s">
        <v>75</v>
      </c>
      <c r="I9">
        <v>0</v>
      </c>
      <c r="J9">
        <v>1.1000000000000001</v>
      </c>
      <c r="K9">
        <v>0.5</v>
      </c>
      <c r="L9">
        <v>0.28583333333333327</v>
      </c>
      <c r="M9">
        <v>0</v>
      </c>
      <c r="N9">
        <v>0.3468101265822785</v>
      </c>
      <c r="O9">
        <v>1.5</v>
      </c>
    </row>
    <row r="10" spans="1:15" x14ac:dyDescent="0.45">
      <c r="A10" t="s">
        <v>53</v>
      </c>
      <c r="B10">
        <v>9</v>
      </c>
      <c r="C10" t="s">
        <v>75</v>
      </c>
      <c r="D10">
        <v>0.75</v>
      </c>
      <c r="E10">
        <v>1</v>
      </c>
      <c r="G10">
        <v>0</v>
      </c>
      <c r="H10" t="s">
        <v>75</v>
      </c>
      <c r="I10">
        <v>0</v>
      </c>
      <c r="J10">
        <v>1.1000000000000001</v>
      </c>
      <c r="K10">
        <v>0.5</v>
      </c>
      <c r="L10">
        <v>0.28583333333333327</v>
      </c>
      <c r="M10">
        <v>1.1200000000000001</v>
      </c>
      <c r="N10">
        <v>0</v>
      </c>
      <c r="O10">
        <v>0</v>
      </c>
    </row>
    <row r="11" spans="1:15" x14ac:dyDescent="0.45">
      <c r="A11" t="s">
        <v>53</v>
      </c>
      <c r="B11">
        <v>10</v>
      </c>
      <c r="C11" t="s">
        <v>68</v>
      </c>
      <c r="D11">
        <v>0</v>
      </c>
      <c r="E11">
        <v>0</v>
      </c>
      <c r="F11" t="s">
        <v>95</v>
      </c>
      <c r="G11">
        <v>20</v>
      </c>
      <c r="H11" t="s">
        <v>68</v>
      </c>
      <c r="I11">
        <v>0</v>
      </c>
      <c r="J11">
        <v>1.1000000000000001</v>
      </c>
      <c r="K11">
        <v>0.5</v>
      </c>
      <c r="L11">
        <v>0.28583333333333327</v>
      </c>
      <c r="M11">
        <v>0</v>
      </c>
      <c r="N11">
        <v>0.37516455696202528</v>
      </c>
      <c r="O11">
        <v>3</v>
      </c>
    </row>
    <row r="12" spans="1:15" x14ac:dyDescent="0.45">
      <c r="A12" t="s">
        <v>53</v>
      </c>
      <c r="B12">
        <v>11</v>
      </c>
      <c r="C12" t="s">
        <v>68</v>
      </c>
      <c r="D12">
        <v>1.5</v>
      </c>
      <c r="E12">
        <v>2</v>
      </c>
      <c r="G12">
        <v>0</v>
      </c>
      <c r="H12" t="s">
        <v>68</v>
      </c>
      <c r="I12">
        <v>0</v>
      </c>
      <c r="J12">
        <v>1.1000000000000001</v>
      </c>
      <c r="K12">
        <v>0.5</v>
      </c>
      <c r="L12">
        <v>0.28583333333333327</v>
      </c>
      <c r="M12">
        <v>2.2400000000000002</v>
      </c>
      <c r="N12">
        <v>0</v>
      </c>
      <c r="O12">
        <v>0</v>
      </c>
    </row>
    <row r="13" spans="1:15" x14ac:dyDescent="0.45">
      <c r="A13" t="s">
        <v>53</v>
      </c>
      <c r="B13">
        <v>12</v>
      </c>
      <c r="C13" t="s">
        <v>67</v>
      </c>
      <c r="D13">
        <v>0</v>
      </c>
      <c r="E13">
        <v>0</v>
      </c>
      <c r="F13" t="s">
        <v>95</v>
      </c>
      <c r="G13">
        <v>20</v>
      </c>
      <c r="H13" t="s">
        <v>67</v>
      </c>
      <c r="I13">
        <v>0</v>
      </c>
      <c r="J13">
        <v>1.1000000000000001</v>
      </c>
      <c r="K13">
        <v>0.5</v>
      </c>
      <c r="L13">
        <v>0.28583333333333327</v>
      </c>
      <c r="M13">
        <v>0</v>
      </c>
      <c r="N13">
        <v>0.39508860759493669</v>
      </c>
      <c r="O13">
        <v>3</v>
      </c>
    </row>
    <row r="14" spans="1:15" x14ac:dyDescent="0.45">
      <c r="A14" t="s">
        <v>53</v>
      </c>
      <c r="B14">
        <v>13</v>
      </c>
      <c r="C14" t="s">
        <v>67</v>
      </c>
      <c r="D14">
        <v>1.5</v>
      </c>
      <c r="E14">
        <v>2</v>
      </c>
      <c r="G14">
        <v>0</v>
      </c>
      <c r="H14" t="s">
        <v>67</v>
      </c>
      <c r="I14">
        <v>0</v>
      </c>
      <c r="J14">
        <v>1.1000000000000001</v>
      </c>
      <c r="K14">
        <v>0.5</v>
      </c>
      <c r="L14">
        <v>0.28583333333333327</v>
      </c>
      <c r="M14">
        <v>2.2400000000000002</v>
      </c>
      <c r="N14">
        <v>0</v>
      </c>
      <c r="O14">
        <v>0</v>
      </c>
    </row>
    <row r="15" spans="1:15" x14ac:dyDescent="0.45">
      <c r="A15" t="s">
        <v>53</v>
      </c>
      <c r="B15">
        <v>14</v>
      </c>
      <c r="C15" t="s">
        <v>52</v>
      </c>
      <c r="D15">
        <v>0</v>
      </c>
      <c r="E15">
        <v>0</v>
      </c>
      <c r="F15" t="s">
        <v>95</v>
      </c>
      <c r="G15">
        <v>20</v>
      </c>
      <c r="H15" t="s">
        <v>52</v>
      </c>
      <c r="I15">
        <v>0</v>
      </c>
      <c r="J15">
        <v>1.1000000000000001</v>
      </c>
      <c r="K15">
        <v>0.5</v>
      </c>
      <c r="L15">
        <v>0.28583333333333327</v>
      </c>
      <c r="M15">
        <v>0</v>
      </c>
      <c r="N15">
        <v>1.2976708860759489</v>
      </c>
      <c r="O15">
        <v>33</v>
      </c>
    </row>
    <row r="16" spans="1:15" x14ac:dyDescent="0.45">
      <c r="A16" t="s">
        <v>53</v>
      </c>
      <c r="B16">
        <v>15</v>
      </c>
      <c r="C16" t="s">
        <v>52</v>
      </c>
      <c r="D16">
        <v>3.5</v>
      </c>
      <c r="E16">
        <v>4.666666666666667</v>
      </c>
      <c r="G16">
        <v>0</v>
      </c>
      <c r="H16" t="s">
        <v>52</v>
      </c>
      <c r="I16">
        <v>0</v>
      </c>
      <c r="J16">
        <v>1.1000000000000001</v>
      </c>
      <c r="K16">
        <v>0.5</v>
      </c>
      <c r="L16">
        <v>0.28583333333333327</v>
      </c>
      <c r="M16">
        <v>5.2266666666666666</v>
      </c>
      <c r="N16">
        <v>0</v>
      </c>
      <c r="O16">
        <v>0</v>
      </c>
    </row>
    <row r="17" spans="1:15" x14ac:dyDescent="0.45">
      <c r="A17" t="s">
        <v>53</v>
      </c>
      <c r="B17">
        <v>16</v>
      </c>
      <c r="C17" t="s">
        <v>52</v>
      </c>
      <c r="D17">
        <v>3.5</v>
      </c>
      <c r="E17">
        <v>4.666666666666667</v>
      </c>
      <c r="G17">
        <v>0</v>
      </c>
      <c r="H17" t="s">
        <v>52</v>
      </c>
      <c r="I17">
        <v>0</v>
      </c>
      <c r="J17">
        <v>1.1000000000000001</v>
      </c>
      <c r="K17">
        <v>0.5</v>
      </c>
      <c r="L17">
        <v>0.28583333333333327</v>
      </c>
      <c r="M17">
        <v>5.2266666666666666</v>
      </c>
      <c r="N17">
        <v>0</v>
      </c>
      <c r="O17">
        <v>0</v>
      </c>
    </row>
    <row r="18" spans="1:15" x14ac:dyDescent="0.45">
      <c r="A18" t="s">
        <v>53</v>
      </c>
      <c r="B18">
        <v>17</v>
      </c>
      <c r="C18" t="s">
        <v>52</v>
      </c>
      <c r="D18">
        <v>3.5</v>
      </c>
      <c r="E18">
        <v>4.666666666666667</v>
      </c>
      <c r="G18">
        <v>0</v>
      </c>
      <c r="H18" t="s">
        <v>52</v>
      </c>
      <c r="I18">
        <v>0</v>
      </c>
      <c r="J18">
        <v>1.1000000000000001</v>
      </c>
      <c r="K18">
        <v>0.5</v>
      </c>
      <c r="L18">
        <v>0.28583333333333327</v>
      </c>
      <c r="M18">
        <v>5.2266666666666666</v>
      </c>
      <c r="N18">
        <v>0</v>
      </c>
      <c r="O18">
        <v>0</v>
      </c>
    </row>
    <row r="19" spans="1:15" x14ac:dyDescent="0.45">
      <c r="A19" t="s">
        <v>53</v>
      </c>
      <c r="B19">
        <v>18</v>
      </c>
      <c r="C19" t="s">
        <v>52</v>
      </c>
      <c r="D19">
        <v>3.5</v>
      </c>
      <c r="E19">
        <v>4.666666666666667</v>
      </c>
      <c r="G19">
        <v>0</v>
      </c>
      <c r="H19" t="s">
        <v>52</v>
      </c>
      <c r="I19">
        <v>0</v>
      </c>
      <c r="J19">
        <v>1.1000000000000001</v>
      </c>
      <c r="K19">
        <v>0.5</v>
      </c>
      <c r="L19">
        <v>0.28583333333333327</v>
      </c>
      <c r="M19">
        <v>5.2266666666666666</v>
      </c>
      <c r="N19">
        <v>0</v>
      </c>
      <c r="O19">
        <v>0</v>
      </c>
    </row>
    <row r="20" spans="1:15" x14ac:dyDescent="0.45">
      <c r="A20" t="s">
        <v>53</v>
      </c>
      <c r="B20">
        <v>19</v>
      </c>
      <c r="C20" t="s">
        <v>52</v>
      </c>
      <c r="D20">
        <v>2.5</v>
      </c>
      <c r="E20">
        <v>3.333333333333333</v>
      </c>
      <c r="G20">
        <v>0</v>
      </c>
      <c r="H20" t="s">
        <v>52</v>
      </c>
      <c r="I20">
        <v>0</v>
      </c>
      <c r="J20">
        <v>1.1000000000000001</v>
      </c>
      <c r="K20">
        <v>0.5</v>
      </c>
      <c r="L20">
        <v>0.28583333333333327</v>
      </c>
      <c r="M20">
        <v>3.7333333333333338</v>
      </c>
      <c r="N20">
        <v>0</v>
      </c>
      <c r="O20">
        <v>0</v>
      </c>
    </row>
    <row r="21" spans="1:15" x14ac:dyDescent="0.45">
      <c r="A21" t="s">
        <v>53</v>
      </c>
      <c r="B21">
        <v>20</v>
      </c>
      <c r="C21" t="s">
        <v>34</v>
      </c>
      <c r="D21">
        <v>3.5</v>
      </c>
      <c r="E21">
        <v>4.666666666666667</v>
      </c>
      <c r="G21">
        <v>0</v>
      </c>
      <c r="H21" t="s">
        <v>34</v>
      </c>
      <c r="I21">
        <v>0</v>
      </c>
      <c r="J21">
        <v>0</v>
      </c>
      <c r="K21">
        <v>0.5</v>
      </c>
      <c r="L21">
        <v>0.28583333333333327</v>
      </c>
      <c r="M21">
        <v>5.2266666666666666</v>
      </c>
      <c r="N21">
        <v>0</v>
      </c>
      <c r="O21">
        <v>0</v>
      </c>
    </row>
    <row r="22" spans="1:15" x14ac:dyDescent="0.45">
      <c r="A22" t="s">
        <v>53</v>
      </c>
      <c r="B22">
        <v>21</v>
      </c>
      <c r="C22" t="s">
        <v>34</v>
      </c>
      <c r="D22">
        <v>3.5</v>
      </c>
      <c r="E22">
        <v>4.666666666666667</v>
      </c>
      <c r="G22">
        <v>0</v>
      </c>
      <c r="H22" t="s">
        <v>34</v>
      </c>
      <c r="I22">
        <v>0</v>
      </c>
      <c r="J22">
        <v>0</v>
      </c>
      <c r="K22">
        <v>0.5</v>
      </c>
      <c r="L22">
        <v>0.28583333333333327</v>
      </c>
      <c r="M22">
        <v>5.2266666666666666</v>
      </c>
      <c r="N22">
        <v>0</v>
      </c>
      <c r="O22">
        <v>0</v>
      </c>
    </row>
    <row r="23" spans="1:15" x14ac:dyDescent="0.45">
      <c r="A23" t="s">
        <v>53</v>
      </c>
      <c r="B23">
        <v>22</v>
      </c>
      <c r="C23" t="s">
        <v>34</v>
      </c>
      <c r="D23">
        <v>3.5</v>
      </c>
      <c r="E23">
        <v>4.666666666666667</v>
      </c>
      <c r="G23">
        <v>0</v>
      </c>
      <c r="H23" t="s">
        <v>34</v>
      </c>
      <c r="I23">
        <v>0</v>
      </c>
      <c r="J23">
        <v>0</v>
      </c>
      <c r="K23">
        <v>0.5</v>
      </c>
      <c r="L23">
        <v>0.28583333333333327</v>
      </c>
      <c r="M23">
        <v>5.2266666666666666</v>
      </c>
      <c r="N23">
        <v>0</v>
      </c>
      <c r="O23">
        <v>0</v>
      </c>
    </row>
    <row r="24" spans="1:15" x14ac:dyDescent="0.45">
      <c r="A24" t="s">
        <v>53</v>
      </c>
      <c r="B24">
        <v>23</v>
      </c>
      <c r="C24" t="s">
        <v>34</v>
      </c>
      <c r="D24">
        <v>3.5</v>
      </c>
      <c r="E24">
        <v>4.666666666666667</v>
      </c>
      <c r="G24">
        <v>0</v>
      </c>
      <c r="H24" t="s">
        <v>34</v>
      </c>
      <c r="I24">
        <v>0</v>
      </c>
      <c r="J24">
        <v>0</v>
      </c>
      <c r="K24">
        <v>0.5</v>
      </c>
      <c r="L24">
        <v>0.28583333333333327</v>
      </c>
      <c r="M24">
        <v>5.2266666666666666</v>
      </c>
      <c r="N24">
        <v>0</v>
      </c>
      <c r="O24">
        <v>0</v>
      </c>
    </row>
    <row r="25" spans="1:15" x14ac:dyDescent="0.45">
      <c r="A25" t="s">
        <v>53</v>
      </c>
      <c r="B25">
        <v>24</v>
      </c>
      <c r="C25" t="s">
        <v>34</v>
      </c>
      <c r="D25">
        <v>3.5</v>
      </c>
      <c r="E25">
        <v>4.666666666666667</v>
      </c>
      <c r="G25">
        <v>0</v>
      </c>
      <c r="H25" t="s">
        <v>34</v>
      </c>
      <c r="I25">
        <v>0</v>
      </c>
      <c r="J25">
        <v>0</v>
      </c>
      <c r="K25">
        <v>0.5</v>
      </c>
      <c r="L25">
        <v>0.28583333333333327</v>
      </c>
      <c r="M25">
        <v>5.2266666666666666</v>
      </c>
      <c r="N25">
        <v>0</v>
      </c>
      <c r="O25">
        <v>0</v>
      </c>
    </row>
    <row r="26" spans="1:15" x14ac:dyDescent="0.45">
      <c r="A26" t="s">
        <v>55</v>
      </c>
      <c r="B26">
        <v>1</v>
      </c>
      <c r="C26" t="s">
        <v>54</v>
      </c>
      <c r="D26">
        <v>0</v>
      </c>
      <c r="E26">
        <v>0</v>
      </c>
      <c r="F26" t="s">
        <v>95</v>
      </c>
      <c r="G26">
        <v>20</v>
      </c>
      <c r="H26" t="s">
        <v>54</v>
      </c>
      <c r="I26">
        <v>0</v>
      </c>
      <c r="J26">
        <v>1.1000000000000001</v>
      </c>
      <c r="K26">
        <v>0.5</v>
      </c>
      <c r="L26">
        <v>0.28583333333333327</v>
      </c>
      <c r="M26">
        <v>0</v>
      </c>
      <c r="N26">
        <v>0.37516455696202528</v>
      </c>
      <c r="O26">
        <v>33</v>
      </c>
    </row>
    <row r="27" spans="1:15" x14ac:dyDescent="0.45">
      <c r="A27" t="s">
        <v>55</v>
      </c>
      <c r="B27">
        <v>2</v>
      </c>
      <c r="C27" t="s">
        <v>54</v>
      </c>
      <c r="D27">
        <v>3.5</v>
      </c>
      <c r="E27">
        <v>4.666666666666667</v>
      </c>
      <c r="G27">
        <v>0</v>
      </c>
      <c r="H27" t="s">
        <v>54</v>
      </c>
      <c r="I27">
        <v>0</v>
      </c>
      <c r="J27">
        <v>1.1000000000000001</v>
      </c>
      <c r="K27">
        <v>0.5</v>
      </c>
      <c r="L27">
        <v>0.28583333333333327</v>
      </c>
      <c r="M27">
        <v>5.2266666666666666</v>
      </c>
      <c r="N27">
        <v>0</v>
      </c>
      <c r="O27">
        <v>0</v>
      </c>
    </row>
    <row r="28" spans="1:15" x14ac:dyDescent="0.45">
      <c r="A28" t="s">
        <v>55</v>
      </c>
      <c r="B28">
        <v>3</v>
      </c>
      <c r="C28" t="s">
        <v>54</v>
      </c>
      <c r="D28">
        <v>3.5</v>
      </c>
      <c r="E28">
        <v>4.666666666666667</v>
      </c>
      <c r="G28">
        <v>0</v>
      </c>
      <c r="H28" t="s">
        <v>54</v>
      </c>
      <c r="I28">
        <v>0</v>
      </c>
      <c r="J28">
        <v>1.1000000000000001</v>
      </c>
      <c r="K28">
        <v>0.5</v>
      </c>
      <c r="L28">
        <v>0.28583333333333327</v>
      </c>
      <c r="M28">
        <v>5.2266666666666666</v>
      </c>
      <c r="N28">
        <v>0</v>
      </c>
      <c r="O28">
        <v>0</v>
      </c>
    </row>
    <row r="29" spans="1:15" x14ac:dyDescent="0.45">
      <c r="A29" t="s">
        <v>55</v>
      </c>
      <c r="B29">
        <v>4</v>
      </c>
      <c r="C29" t="s">
        <v>54</v>
      </c>
      <c r="D29">
        <v>3.5</v>
      </c>
      <c r="E29">
        <v>4.666666666666667</v>
      </c>
      <c r="G29">
        <v>0</v>
      </c>
      <c r="H29" t="s">
        <v>54</v>
      </c>
      <c r="I29">
        <v>0</v>
      </c>
      <c r="J29">
        <v>1.1000000000000001</v>
      </c>
      <c r="K29">
        <v>0.5</v>
      </c>
      <c r="L29">
        <v>0.28583333333333327</v>
      </c>
      <c r="M29">
        <v>5.2266666666666666</v>
      </c>
      <c r="N29">
        <v>0</v>
      </c>
      <c r="O29">
        <v>0</v>
      </c>
    </row>
    <row r="30" spans="1:15" x14ac:dyDescent="0.45">
      <c r="A30" t="s">
        <v>55</v>
      </c>
      <c r="B30">
        <v>5</v>
      </c>
      <c r="C30" t="s">
        <v>54</v>
      </c>
      <c r="D30">
        <v>3.5</v>
      </c>
      <c r="E30">
        <v>4.666666666666667</v>
      </c>
      <c r="G30">
        <v>0</v>
      </c>
      <c r="H30" t="s">
        <v>54</v>
      </c>
      <c r="I30">
        <v>0</v>
      </c>
      <c r="J30">
        <v>1.1000000000000001</v>
      </c>
      <c r="K30">
        <v>0.5</v>
      </c>
      <c r="L30">
        <v>0.28583333333333327</v>
      </c>
      <c r="M30">
        <v>5.2266666666666666</v>
      </c>
      <c r="N30">
        <v>0</v>
      </c>
      <c r="O30">
        <v>0</v>
      </c>
    </row>
    <row r="31" spans="1:15" x14ac:dyDescent="0.45">
      <c r="A31" t="s">
        <v>55</v>
      </c>
      <c r="B31">
        <v>6</v>
      </c>
      <c r="C31" t="s">
        <v>54</v>
      </c>
      <c r="D31">
        <v>2.5</v>
      </c>
      <c r="E31">
        <v>3.333333333333333</v>
      </c>
      <c r="G31">
        <v>0</v>
      </c>
      <c r="H31" t="s">
        <v>54</v>
      </c>
      <c r="I31">
        <v>0</v>
      </c>
      <c r="J31">
        <v>1.1000000000000001</v>
      </c>
      <c r="K31">
        <v>0.5</v>
      </c>
      <c r="L31">
        <v>0.28583333333333327</v>
      </c>
      <c r="M31">
        <v>3.7333333333333338</v>
      </c>
      <c r="N31">
        <v>0</v>
      </c>
      <c r="O31">
        <v>0</v>
      </c>
    </row>
    <row r="32" spans="1:15" x14ac:dyDescent="0.45">
      <c r="A32" t="s">
        <v>55</v>
      </c>
      <c r="B32">
        <v>7</v>
      </c>
      <c r="C32" t="s">
        <v>56</v>
      </c>
      <c r="D32">
        <v>0</v>
      </c>
      <c r="E32">
        <v>0</v>
      </c>
      <c r="F32" t="s">
        <v>95</v>
      </c>
      <c r="G32">
        <v>20</v>
      </c>
      <c r="H32" t="s">
        <v>56</v>
      </c>
      <c r="I32">
        <v>0</v>
      </c>
      <c r="J32">
        <v>1.1000000000000001</v>
      </c>
      <c r="K32">
        <v>0.5</v>
      </c>
      <c r="L32">
        <v>0.28583333333333327</v>
      </c>
      <c r="M32">
        <v>0</v>
      </c>
      <c r="N32">
        <v>0.3681518987341772</v>
      </c>
      <c r="O32">
        <v>21</v>
      </c>
    </row>
    <row r="33" spans="1:15" x14ac:dyDescent="0.45">
      <c r="A33" t="s">
        <v>55</v>
      </c>
      <c r="B33">
        <v>8</v>
      </c>
      <c r="C33" t="s">
        <v>56</v>
      </c>
      <c r="D33">
        <v>3.5</v>
      </c>
      <c r="E33">
        <v>4.666666666666667</v>
      </c>
      <c r="G33">
        <v>0</v>
      </c>
      <c r="H33" t="s">
        <v>56</v>
      </c>
      <c r="I33">
        <v>0</v>
      </c>
      <c r="J33">
        <v>1.1000000000000001</v>
      </c>
      <c r="K33">
        <v>0.5</v>
      </c>
      <c r="L33">
        <v>0.28583333333333327</v>
      </c>
      <c r="M33">
        <v>5.2266666666666666</v>
      </c>
      <c r="N33">
        <v>0</v>
      </c>
      <c r="O33">
        <v>0</v>
      </c>
    </row>
    <row r="34" spans="1:15" x14ac:dyDescent="0.45">
      <c r="A34" t="s">
        <v>55</v>
      </c>
      <c r="B34">
        <v>9</v>
      </c>
      <c r="C34" t="s">
        <v>56</v>
      </c>
      <c r="D34">
        <v>3.5</v>
      </c>
      <c r="E34">
        <v>4.666666666666667</v>
      </c>
      <c r="G34">
        <v>0</v>
      </c>
      <c r="H34" t="s">
        <v>56</v>
      </c>
      <c r="I34">
        <v>0</v>
      </c>
      <c r="J34">
        <v>1.1000000000000001</v>
      </c>
      <c r="K34">
        <v>0.5</v>
      </c>
      <c r="L34">
        <v>0.28583333333333327</v>
      </c>
      <c r="M34">
        <v>5.2266666666666666</v>
      </c>
      <c r="N34">
        <v>0</v>
      </c>
      <c r="O34">
        <v>0</v>
      </c>
    </row>
    <row r="35" spans="1:15" x14ac:dyDescent="0.45">
      <c r="A35" t="s">
        <v>55</v>
      </c>
      <c r="B35">
        <v>10</v>
      </c>
      <c r="C35" t="s">
        <v>56</v>
      </c>
      <c r="D35">
        <v>3.5</v>
      </c>
      <c r="E35">
        <v>4.666666666666667</v>
      </c>
      <c r="G35">
        <v>0</v>
      </c>
      <c r="H35" t="s">
        <v>56</v>
      </c>
      <c r="I35">
        <v>0</v>
      </c>
      <c r="J35">
        <v>1.1000000000000001</v>
      </c>
      <c r="K35">
        <v>0.5</v>
      </c>
      <c r="L35">
        <v>0.28583333333333327</v>
      </c>
      <c r="M35">
        <v>5.2266666666666666</v>
      </c>
      <c r="N35">
        <v>0</v>
      </c>
      <c r="O35">
        <v>0</v>
      </c>
    </row>
    <row r="36" spans="1:15" x14ac:dyDescent="0.45">
      <c r="A36" t="s">
        <v>55</v>
      </c>
      <c r="B36">
        <v>11</v>
      </c>
      <c r="C36" t="s">
        <v>57</v>
      </c>
      <c r="D36">
        <v>0</v>
      </c>
      <c r="E36">
        <v>0</v>
      </c>
      <c r="F36" t="s">
        <v>95</v>
      </c>
      <c r="G36">
        <v>20</v>
      </c>
      <c r="H36" t="s">
        <v>57</v>
      </c>
      <c r="I36">
        <v>0</v>
      </c>
      <c r="J36">
        <v>1.1000000000000001</v>
      </c>
      <c r="K36">
        <v>0.5</v>
      </c>
      <c r="L36">
        <v>0.28583333333333327</v>
      </c>
      <c r="M36">
        <v>0</v>
      </c>
      <c r="N36">
        <v>1.6867594936708861</v>
      </c>
      <c r="O36">
        <v>18</v>
      </c>
    </row>
    <row r="37" spans="1:15" x14ac:dyDescent="0.45">
      <c r="A37" t="s">
        <v>55</v>
      </c>
      <c r="B37">
        <v>12</v>
      </c>
      <c r="C37" t="s">
        <v>57</v>
      </c>
      <c r="D37">
        <v>3.5</v>
      </c>
      <c r="E37">
        <v>4.666666666666667</v>
      </c>
      <c r="G37">
        <v>0</v>
      </c>
      <c r="H37" t="s">
        <v>57</v>
      </c>
      <c r="I37">
        <v>0</v>
      </c>
      <c r="J37">
        <v>1.1000000000000001</v>
      </c>
      <c r="K37">
        <v>0.5</v>
      </c>
      <c r="L37">
        <v>0.28583333333333327</v>
      </c>
      <c r="M37">
        <v>5.2266666666666666</v>
      </c>
      <c r="N37">
        <v>0</v>
      </c>
      <c r="O37">
        <v>0</v>
      </c>
    </row>
    <row r="38" spans="1:15" x14ac:dyDescent="0.45">
      <c r="A38" t="s">
        <v>55</v>
      </c>
      <c r="B38">
        <v>13</v>
      </c>
      <c r="C38" t="s">
        <v>57</v>
      </c>
      <c r="D38">
        <v>3.5</v>
      </c>
      <c r="E38">
        <v>4.666666666666667</v>
      </c>
      <c r="G38">
        <v>0</v>
      </c>
      <c r="H38" t="s">
        <v>57</v>
      </c>
      <c r="I38">
        <v>0</v>
      </c>
      <c r="J38">
        <v>1.1000000000000001</v>
      </c>
      <c r="K38">
        <v>0.5</v>
      </c>
      <c r="L38">
        <v>0.28583333333333327</v>
      </c>
      <c r="M38">
        <v>5.2266666666666666</v>
      </c>
      <c r="N38">
        <v>0</v>
      </c>
      <c r="O38">
        <v>0</v>
      </c>
    </row>
    <row r="39" spans="1:15" x14ac:dyDescent="0.45">
      <c r="A39" t="s">
        <v>55</v>
      </c>
      <c r="B39">
        <v>14</v>
      </c>
      <c r="C39" t="s">
        <v>57</v>
      </c>
      <c r="D39">
        <v>2</v>
      </c>
      <c r="E39">
        <v>2.666666666666667</v>
      </c>
      <c r="G39">
        <v>0</v>
      </c>
      <c r="H39" t="s">
        <v>57</v>
      </c>
      <c r="I39">
        <v>0</v>
      </c>
      <c r="J39">
        <v>1.1000000000000001</v>
      </c>
      <c r="K39">
        <v>0.5</v>
      </c>
      <c r="L39">
        <v>0.28583333333333327</v>
      </c>
      <c r="M39">
        <v>2.9866666666666668</v>
      </c>
      <c r="N39">
        <v>0</v>
      </c>
      <c r="O39">
        <v>0</v>
      </c>
    </row>
    <row r="40" spans="1:15" x14ac:dyDescent="0.45">
      <c r="A40" t="s">
        <v>55</v>
      </c>
      <c r="B40">
        <v>15</v>
      </c>
      <c r="C40" t="s">
        <v>70</v>
      </c>
      <c r="D40">
        <v>0</v>
      </c>
      <c r="E40">
        <v>0</v>
      </c>
      <c r="F40" t="s">
        <v>95</v>
      </c>
      <c r="G40">
        <v>20</v>
      </c>
      <c r="H40" t="s">
        <v>70</v>
      </c>
      <c r="I40">
        <v>0</v>
      </c>
      <c r="J40">
        <v>1.1000000000000001</v>
      </c>
      <c r="K40">
        <v>0.5</v>
      </c>
      <c r="L40">
        <v>0.28583333333333327</v>
      </c>
      <c r="M40">
        <v>0</v>
      </c>
      <c r="N40">
        <v>0.35356962025316457</v>
      </c>
      <c r="O40">
        <v>3</v>
      </c>
    </row>
    <row r="41" spans="1:15" x14ac:dyDescent="0.45">
      <c r="A41" t="s">
        <v>55</v>
      </c>
      <c r="B41">
        <v>16</v>
      </c>
      <c r="C41" t="s">
        <v>70</v>
      </c>
      <c r="D41">
        <v>1.5</v>
      </c>
      <c r="E41">
        <v>2</v>
      </c>
      <c r="G41">
        <v>0</v>
      </c>
      <c r="H41" t="s">
        <v>70</v>
      </c>
      <c r="I41">
        <v>0</v>
      </c>
      <c r="J41">
        <v>1.1000000000000001</v>
      </c>
      <c r="K41">
        <v>0.5</v>
      </c>
      <c r="L41">
        <v>0.28583333333333327</v>
      </c>
      <c r="M41">
        <v>2.2400000000000002</v>
      </c>
      <c r="N41">
        <v>0</v>
      </c>
      <c r="O41">
        <v>0</v>
      </c>
    </row>
    <row r="42" spans="1:15" x14ac:dyDescent="0.45">
      <c r="A42" t="s">
        <v>55</v>
      </c>
      <c r="B42">
        <v>17</v>
      </c>
      <c r="C42" t="s">
        <v>69</v>
      </c>
      <c r="D42">
        <v>0</v>
      </c>
      <c r="E42">
        <v>0</v>
      </c>
      <c r="F42" t="s">
        <v>95</v>
      </c>
      <c r="G42">
        <v>20</v>
      </c>
      <c r="H42" t="s">
        <v>69</v>
      </c>
      <c r="I42">
        <v>0</v>
      </c>
      <c r="J42">
        <v>1.1000000000000001</v>
      </c>
      <c r="K42">
        <v>0.5</v>
      </c>
      <c r="L42">
        <v>0.28583333333333327</v>
      </c>
      <c r="M42">
        <v>0</v>
      </c>
      <c r="N42">
        <v>0.35898734177215191</v>
      </c>
      <c r="O42">
        <v>3</v>
      </c>
    </row>
    <row r="43" spans="1:15" x14ac:dyDescent="0.45">
      <c r="A43" t="s">
        <v>55</v>
      </c>
      <c r="B43">
        <v>18</v>
      </c>
      <c r="C43" t="s">
        <v>69</v>
      </c>
      <c r="D43">
        <v>1.5</v>
      </c>
      <c r="E43">
        <v>2</v>
      </c>
      <c r="G43">
        <v>0</v>
      </c>
      <c r="H43" t="s">
        <v>69</v>
      </c>
      <c r="I43">
        <v>0</v>
      </c>
      <c r="J43">
        <v>1.1000000000000001</v>
      </c>
      <c r="K43">
        <v>0.5</v>
      </c>
      <c r="L43">
        <v>0.28583333333333327</v>
      </c>
      <c r="M43">
        <v>2.2400000000000002</v>
      </c>
      <c r="N43">
        <v>0</v>
      </c>
      <c r="O43">
        <v>0</v>
      </c>
    </row>
    <row r="44" spans="1:15" x14ac:dyDescent="0.45">
      <c r="A44" t="s">
        <v>55</v>
      </c>
      <c r="B44">
        <v>19</v>
      </c>
      <c r="C44" t="s">
        <v>71</v>
      </c>
      <c r="D44">
        <v>0</v>
      </c>
      <c r="E44">
        <v>0</v>
      </c>
      <c r="F44" t="s">
        <v>95</v>
      </c>
      <c r="G44">
        <v>20</v>
      </c>
      <c r="H44" t="s">
        <v>71</v>
      </c>
      <c r="I44">
        <v>0</v>
      </c>
      <c r="J44">
        <v>1.1000000000000001</v>
      </c>
      <c r="K44">
        <v>0.5</v>
      </c>
      <c r="L44">
        <v>0.28583333333333327</v>
      </c>
      <c r="M44">
        <v>0</v>
      </c>
      <c r="N44">
        <v>1.6867594936708861</v>
      </c>
      <c r="O44">
        <v>1.5</v>
      </c>
    </row>
    <row r="45" spans="1:15" x14ac:dyDescent="0.45">
      <c r="A45" t="s">
        <v>55</v>
      </c>
      <c r="B45">
        <v>20</v>
      </c>
      <c r="C45" t="s">
        <v>71</v>
      </c>
      <c r="D45">
        <v>0.75</v>
      </c>
      <c r="E45">
        <v>1</v>
      </c>
      <c r="G45">
        <v>0</v>
      </c>
      <c r="H45" t="s">
        <v>71</v>
      </c>
      <c r="I45">
        <v>0</v>
      </c>
      <c r="J45">
        <v>1.1000000000000001</v>
      </c>
      <c r="K45">
        <v>0.5</v>
      </c>
      <c r="L45">
        <v>0.28583333333333327</v>
      </c>
      <c r="M45">
        <v>1.1200000000000001</v>
      </c>
      <c r="N45">
        <v>0</v>
      </c>
      <c r="O45">
        <v>0</v>
      </c>
    </row>
    <row r="46" spans="1:15" x14ac:dyDescent="0.45">
      <c r="A46" t="s">
        <v>55</v>
      </c>
      <c r="B46">
        <v>21</v>
      </c>
      <c r="C46" t="s">
        <v>65</v>
      </c>
      <c r="D46">
        <v>0</v>
      </c>
      <c r="E46">
        <v>0</v>
      </c>
      <c r="F46" t="s">
        <v>95</v>
      </c>
      <c r="G46">
        <v>20</v>
      </c>
      <c r="H46" t="s">
        <v>65</v>
      </c>
      <c r="I46">
        <v>0</v>
      </c>
      <c r="J46">
        <v>1.1000000000000001</v>
      </c>
      <c r="K46">
        <v>0.5</v>
      </c>
      <c r="L46">
        <v>0.28583333333333327</v>
      </c>
      <c r="M46">
        <v>0</v>
      </c>
      <c r="N46">
        <v>0.35898734177215191</v>
      </c>
      <c r="O46">
        <v>4.5</v>
      </c>
    </row>
    <row r="47" spans="1:15" x14ac:dyDescent="0.45">
      <c r="A47" t="s">
        <v>55</v>
      </c>
      <c r="B47">
        <v>22</v>
      </c>
      <c r="C47" t="s">
        <v>65</v>
      </c>
      <c r="D47">
        <v>2.25</v>
      </c>
      <c r="E47">
        <v>3</v>
      </c>
      <c r="G47">
        <v>0</v>
      </c>
      <c r="H47" t="s">
        <v>65</v>
      </c>
      <c r="I47">
        <v>0</v>
      </c>
      <c r="J47">
        <v>1.1000000000000001</v>
      </c>
      <c r="K47">
        <v>0.5</v>
      </c>
      <c r="L47">
        <v>0.28583333333333327</v>
      </c>
      <c r="M47">
        <v>3.36</v>
      </c>
      <c r="N47">
        <v>0</v>
      </c>
      <c r="O47">
        <v>0</v>
      </c>
    </row>
    <row r="48" spans="1:15" x14ac:dyDescent="0.45">
      <c r="A48" t="s">
        <v>55</v>
      </c>
      <c r="B48">
        <v>23</v>
      </c>
      <c r="C48" t="s">
        <v>66</v>
      </c>
      <c r="D48">
        <v>0</v>
      </c>
      <c r="E48">
        <v>0</v>
      </c>
      <c r="F48" t="s">
        <v>95</v>
      </c>
      <c r="G48">
        <v>20</v>
      </c>
      <c r="H48" t="s">
        <v>66</v>
      </c>
      <c r="I48">
        <v>0</v>
      </c>
      <c r="J48">
        <v>1.1000000000000001</v>
      </c>
      <c r="K48">
        <v>0.5</v>
      </c>
      <c r="L48">
        <v>0.28583333333333327</v>
      </c>
      <c r="M48">
        <v>0</v>
      </c>
      <c r="N48">
        <v>0.41706329113924051</v>
      </c>
      <c r="O48">
        <v>3</v>
      </c>
    </row>
    <row r="49" spans="1:15" x14ac:dyDescent="0.45">
      <c r="A49" t="s">
        <v>55</v>
      </c>
      <c r="B49">
        <v>24</v>
      </c>
      <c r="C49" t="s">
        <v>66</v>
      </c>
      <c r="D49">
        <v>1.5</v>
      </c>
      <c r="E49">
        <v>2</v>
      </c>
      <c r="G49">
        <v>0</v>
      </c>
      <c r="H49" t="s">
        <v>66</v>
      </c>
      <c r="I49">
        <v>0</v>
      </c>
      <c r="J49">
        <v>1.1000000000000001</v>
      </c>
      <c r="K49">
        <v>0.5</v>
      </c>
      <c r="L49">
        <v>0.28583333333333327</v>
      </c>
      <c r="M49">
        <v>2.2400000000000002</v>
      </c>
      <c r="N49">
        <v>0</v>
      </c>
      <c r="O49">
        <v>0</v>
      </c>
    </row>
    <row r="50" spans="1:15" x14ac:dyDescent="0.45">
      <c r="A50" t="s">
        <v>49</v>
      </c>
      <c r="B50">
        <v>1</v>
      </c>
      <c r="C50" t="s">
        <v>61</v>
      </c>
      <c r="D50">
        <v>0</v>
      </c>
      <c r="E50">
        <v>0</v>
      </c>
      <c r="F50" t="s">
        <v>95</v>
      </c>
      <c r="G50">
        <v>20</v>
      </c>
      <c r="H50" t="s">
        <v>61</v>
      </c>
      <c r="I50">
        <v>0</v>
      </c>
      <c r="J50">
        <v>1.1000000000000001</v>
      </c>
      <c r="K50">
        <v>0.5</v>
      </c>
      <c r="L50">
        <v>0.28583333333333327</v>
      </c>
      <c r="M50">
        <v>0</v>
      </c>
      <c r="N50">
        <v>0.3468101265822785</v>
      </c>
      <c r="O50">
        <v>6</v>
      </c>
    </row>
    <row r="51" spans="1:15" x14ac:dyDescent="0.45">
      <c r="A51" t="s">
        <v>49</v>
      </c>
      <c r="B51">
        <v>2</v>
      </c>
      <c r="C51" t="s">
        <v>61</v>
      </c>
      <c r="D51">
        <v>3</v>
      </c>
      <c r="E51">
        <v>4</v>
      </c>
      <c r="G51">
        <v>0</v>
      </c>
      <c r="H51" t="s">
        <v>61</v>
      </c>
      <c r="I51">
        <v>0</v>
      </c>
      <c r="J51">
        <v>1.1000000000000001</v>
      </c>
      <c r="K51">
        <v>0.5</v>
      </c>
      <c r="L51">
        <v>0.28583333333333327</v>
      </c>
      <c r="M51">
        <v>4.4800000000000004</v>
      </c>
      <c r="N51">
        <v>0</v>
      </c>
      <c r="O51">
        <v>0</v>
      </c>
    </row>
    <row r="52" spans="1:15" x14ac:dyDescent="0.45">
      <c r="A52" t="s">
        <v>49</v>
      </c>
      <c r="B52">
        <v>3</v>
      </c>
      <c r="C52" t="s">
        <v>48</v>
      </c>
      <c r="D52">
        <v>0</v>
      </c>
      <c r="E52">
        <v>0</v>
      </c>
      <c r="F52" t="s">
        <v>95</v>
      </c>
      <c r="G52">
        <v>20</v>
      </c>
      <c r="H52" t="s">
        <v>48</v>
      </c>
      <c r="I52">
        <v>0</v>
      </c>
      <c r="J52">
        <v>1.1000000000000001</v>
      </c>
      <c r="K52">
        <v>0.5</v>
      </c>
      <c r="L52">
        <v>0.28583333333333327</v>
      </c>
      <c r="M52">
        <v>0</v>
      </c>
      <c r="N52">
        <v>0.39508860759493669</v>
      </c>
      <c r="O52">
        <v>52.5</v>
      </c>
    </row>
    <row r="53" spans="1:15" x14ac:dyDescent="0.45">
      <c r="A53" t="s">
        <v>49</v>
      </c>
      <c r="B53">
        <v>4</v>
      </c>
      <c r="C53" t="s">
        <v>48</v>
      </c>
      <c r="D53">
        <v>3.5</v>
      </c>
      <c r="E53">
        <v>4.666666666666667</v>
      </c>
      <c r="G53">
        <v>0</v>
      </c>
      <c r="H53" t="s">
        <v>48</v>
      </c>
      <c r="I53">
        <v>0</v>
      </c>
      <c r="J53">
        <v>1.1000000000000001</v>
      </c>
      <c r="K53">
        <v>0.5</v>
      </c>
      <c r="L53">
        <v>0.28583333333333327</v>
      </c>
      <c r="M53">
        <v>5.2266666666666666</v>
      </c>
      <c r="N53">
        <v>0</v>
      </c>
      <c r="O53">
        <v>0</v>
      </c>
    </row>
    <row r="54" spans="1:15" x14ac:dyDescent="0.45">
      <c r="A54" t="s">
        <v>49</v>
      </c>
      <c r="B54">
        <v>5</v>
      </c>
      <c r="C54" t="s">
        <v>48</v>
      </c>
      <c r="D54">
        <v>3.5</v>
      </c>
      <c r="E54">
        <v>4.666666666666667</v>
      </c>
      <c r="G54">
        <v>0</v>
      </c>
      <c r="H54" t="s">
        <v>48</v>
      </c>
      <c r="I54">
        <v>0</v>
      </c>
      <c r="J54">
        <v>1.1000000000000001</v>
      </c>
      <c r="K54">
        <v>0.5</v>
      </c>
      <c r="L54">
        <v>0.28583333333333327</v>
      </c>
      <c r="M54">
        <v>5.2266666666666666</v>
      </c>
      <c r="N54">
        <v>0</v>
      </c>
      <c r="O54">
        <v>0</v>
      </c>
    </row>
    <row r="55" spans="1:15" x14ac:dyDescent="0.45">
      <c r="A55" t="s">
        <v>49</v>
      </c>
      <c r="B55">
        <v>6</v>
      </c>
      <c r="C55" t="s">
        <v>48</v>
      </c>
      <c r="D55">
        <v>3.5</v>
      </c>
      <c r="E55">
        <v>4.666666666666667</v>
      </c>
      <c r="G55">
        <v>0</v>
      </c>
      <c r="H55" t="s">
        <v>48</v>
      </c>
      <c r="I55">
        <v>0</v>
      </c>
      <c r="J55">
        <v>1.1000000000000001</v>
      </c>
      <c r="K55">
        <v>0.5</v>
      </c>
      <c r="L55">
        <v>0.28583333333333327</v>
      </c>
      <c r="M55">
        <v>5.2266666666666666</v>
      </c>
      <c r="N55">
        <v>0</v>
      </c>
      <c r="O55">
        <v>0</v>
      </c>
    </row>
    <row r="56" spans="1:15" x14ac:dyDescent="0.45">
      <c r="A56" t="s">
        <v>49</v>
      </c>
      <c r="B56">
        <v>7</v>
      </c>
      <c r="C56" t="s">
        <v>48</v>
      </c>
      <c r="D56">
        <v>3.5</v>
      </c>
      <c r="E56">
        <v>4.666666666666667</v>
      </c>
      <c r="G56">
        <v>0</v>
      </c>
      <c r="H56" t="s">
        <v>48</v>
      </c>
      <c r="I56">
        <v>0</v>
      </c>
      <c r="J56">
        <v>1.1000000000000001</v>
      </c>
      <c r="K56">
        <v>0.5</v>
      </c>
      <c r="L56">
        <v>0.28583333333333327</v>
      </c>
      <c r="M56">
        <v>5.2266666666666666</v>
      </c>
      <c r="N56">
        <v>0</v>
      </c>
      <c r="O56">
        <v>0</v>
      </c>
    </row>
    <row r="57" spans="1:15" x14ac:dyDescent="0.45">
      <c r="A57" t="s">
        <v>49</v>
      </c>
      <c r="B57">
        <v>8</v>
      </c>
      <c r="C57" t="s">
        <v>48</v>
      </c>
      <c r="D57">
        <v>3.5</v>
      </c>
      <c r="E57">
        <v>4.666666666666667</v>
      </c>
      <c r="G57">
        <v>0</v>
      </c>
      <c r="H57" t="s">
        <v>48</v>
      </c>
      <c r="I57">
        <v>0</v>
      </c>
      <c r="J57">
        <v>1.1000000000000001</v>
      </c>
      <c r="K57">
        <v>0.5</v>
      </c>
      <c r="L57">
        <v>0.28583333333333327</v>
      </c>
      <c r="M57">
        <v>5.2266666666666666</v>
      </c>
      <c r="N57">
        <v>0</v>
      </c>
      <c r="O57">
        <v>0</v>
      </c>
    </row>
    <row r="58" spans="1:15" x14ac:dyDescent="0.45">
      <c r="A58" t="s">
        <v>49</v>
      </c>
      <c r="B58">
        <v>9</v>
      </c>
      <c r="C58" t="s">
        <v>48</v>
      </c>
      <c r="D58">
        <v>3.5</v>
      </c>
      <c r="E58">
        <v>4.666666666666667</v>
      </c>
      <c r="G58">
        <v>0</v>
      </c>
      <c r="H58" t="s">
        <v>48</v>
      </c>
      <c r="I58">
        <v>0</v>
      </c>
      <c r="J58">
        <v>1.1000000000000001</v>
      </c>
      <c r="K58">
        <v>0.5</v>
      </c>
      <c r="L58">
        <v>0.28583333333333327</v>
      </c>
      <c r="M58">
        <v>5.2266666666666666</v>
      </c>
      <c r="N58">
        <v>0</v>
      </c>
      <c r="O58">
        <v>0</v>
      </c>
    </row>
    <row r="59" spans="1:15" x14ac:dyDescent="0.45">
      <c r="A59" t="s">
        <v>49</v>
      </c>
      <c r="B59">
        <v>10</v>
      </c>
      <c r="C59" t="s">
        <v>48</v>
      </c>
      <c r="D59">
        <v>3.5</v>
      </c>
      <c r="E59">
        <v>4.666666666666667</v>
      </c>
      <c r="G59">
        <v>0</v>
      </c>
      <c r="H59" t="s">
        <v>48</v>
      </c>
      <c r="I59">
        <v>0</v>
      </c>
      <c r="J59">
        <v>1.1000000000000001</v>
      </c>
      <c r="K59">
        <v>0.5</v>
      </c>
      <c r="L59">
        <v>0.28583333333333327</v>
      </c>
      <c r="M59">
        <v>5.2266666666666666</v>
      </c>
      <c r="N59">
        <v>0</v>
      </c>
      <c r="O59">
        <v>0</v>
      </c>
    </row>
    <row r="60" spans="1:15" x14ac:dyDescent="0.45">
      <c r="A60" t="s">
        <v>49</v>
      </c>
      <c r="B60">
        <v>11</v>
      </c>
      <c r="C60" t="s">
        <v>48</v>
      </c>
      <c r="D60">
        <v>1.75</v>
      </c>
      <c r="E60">
        <v>2.333333333333333</v>
      </c>
      <c r="G60">
        <v>0</v>
      </c>
      <c r="H60" t="s">
        <v>48</v>
      </c>
      <c r="I60">
        <v>0</v>
      </c>
      <c r="J60">
        <v>1.1000000000000001</v>
      </c>
      <c r="K60">
        <v>0.5</v>
      </c>
      <c r="L60">
        <v>0.28583333333333327</v>
      </c>
      <c r="M60">
        <v>2.6133333333333342</v>
      </c>
      <c r="N60">
        <v>0</v>
      </c>
      <c r="O60">
        <v>0</v>
      </c>
    </row>
    <row r="61" spans="1:15" x14ac:dyDescent="0.45">
      <c r="A61" t="s">
        <v>49</v>
      </c>
      <c r="B61">
        <v>12</v>
      </c>
      <c r="C61" t="s">
        <v>63</v>
      </c>
      <c r="D61">
        <v>0</v>
      </c>
      <c r="E61">
        <v>0</v>
      </c>
      <c r="F61" t="s">
        <v>95</v>
      </c>
      <c r="G61">
        <v>20</v>
      </c>
      <c r="H61" t="s">
        <v>63</v>
      </c>
      <c r="I61">
        <v>0</v>
      </c>
      <c r="J61">
        <v>1.1000000000000001</v>
      </c>
      <c r="K61">
        <v>0.5</v>
      </c>
      <c r="L61">
        <v>0.28583333333333327</v>
      </c>
      <c r="M61">
        <v>0</v>
      </c>
      <c r="N61">
        <v>1.6867594936708861</v>
      </c>
      <c r="O61">
        <v>4.5</v>
      </c>
    </row>
    <row r="62" spans="1:15" x14ac:dyDescent="0.45">
      <c r="A62" t="s">
        <v>49</v>
      </c>
      <c r="B62">
        <v>13</v>
      </c>
      <c r="C62" t="s">
        <v>63</v>
      </c>
      <c r="D62">
        <v>2.25</v>
      </c>
      <c r="E62">
        <v>3</v>
      </c>
      <c r="G62">
        <v>0</v>
      </c>
      <c r="H62" t="s">
        <v>63</v>
      </c>
      <c r="I62">
        <v>0</v>
      </c>
      <c r="J62">
        <v>1.1000000000000001</v>
      </c>
      <c r="K62">
        <v>0.5</v>
      </c>
      <c r="L62">
        <v>0.28583333333333327</v>
      </c>
      <c r="M62">
        <v>3.36</v>
      </c>
      <c r="N62">
        <v>0</v>
      </c>
      <c r="O62">
        <v>0</v>
      </c>
    </row>
    <row r="63" spans="1:15" x14ac:dyDescent="0.45">
      <c r="A63" t="s">
        <v>49</v>
      </c>
      <c r="B63">
        <v>14</v>
      </c>
      <c r="C63" t="s">
        <v>50</v>
      </c>
      <c r="D63">
        <v>0</v>
      </c>
      <c r="E63">
        <v>0</v>
      </c>
      <c r="F63" t="s">
        <v>95</v>
      </c>
      <c r="G63">
        <v>20</v>
      </c>
      <c r="H63" t="s">
        <v>50</v>
      </c>
      <c r="I63">
        <v>0</v>
      </c>
      <c r="J63">
        <v>1.1000000000000001</v>
      </c>
      <c r="K63">
        <v>0.5</v>
      </c>
      <c r="L63">
        <v>0.28583333333333327</v>
      </c>
      <c r="M63">
        <v>0</v>
      </c>
      <c r="N63">
        <v>0.3468101265822785</v>
      </c>
      <c r="O63">
        <v>52.5</v>
      </c>
    </row>
    <row r="64" spans="1:15" x14ac:dyDescent="0.45">
      <c r="A64" t="s">
        <v>49</v>
      </c>
      <c r="B64">
        <v>15</v>
      </c>
      <c r="C64" t="s">
        <v>50</v>
      </c>
      <c r="D64">
        <v>3.5</v>
      </c>
      <c r="E64">
        <v>4.666666666666667</v>
      </c>
      <c r="G64">
        <v>0</v>
      </c>
      <c r="H64" t="s">
        <v>50</v>
      </c>
      <c r="I64">
        <v>0</v>
      </c>
      <c r="J64">
        <v>1.1000000000000001</v>
      </c>
      <c r="K64">
        <v>0.5</v>
      </c>
      <c r="L64">
        <v>0.28583333333333327</v>
      </c>
      <c r="M64">
        <v>5.2266666666666666</v>
      </c>
      <c r="N64">
        <v>0</v>
      </c>
      <c r="O64">
        <v>0</v>
      </c>
    </row>
    <row r="65" spans="1:15" x14ac:dyDescent="0.45">
      <c r="A65" t="s">
        <v>49</v>
      </c>
      <c r="B65">
        <v>16</v>
      </c>
      <c r="C65" t="s">
        <v>50</v>
      </c>
      <c r="D65">
        <v>3.5</v>
      </c>
      <c r="E65">
        <v>4.666666666666667</v>
      </c>
      <c r="G65">
        <v>0</v>
      </c>
      <c r="H65" t="s">
        <v>50</v>
      </c>
      <c r="I65">
        <v>0</v>
      </c>
      <c r="J65">
        <v>1.1000000000000001</v>
      </c>
      <c r="K65">
        <v>0.5</v>
      </c>
      <c r="L65">
        <v>0.28583333333333327</v>
      </c>
      <c r="M65">
        <v>5.2266666666666666</v>
      </c>
      <c r="N65">
        <v>0</v>
      </c>
      <c r="O65">
        <v>0</v>
      </c>
    </row>
    <row r="66" spans="1:15" x14ac:dyDescent="0.45">
      <c r="A66" t="s">
        <v>49</v>
      </c>
      <c r="B66">
        <v>17</v>
      </c>
      <c r="C66" t="s">
        <v>50</v>
      </c>
      <c r="D66">
        <v>3.5</v>
      </c>
      <c r="E66">
        <v>4.666666666666667</v>
      </c>
      <c r="G66">
        <v>0</v>
      </c>
      <c r="H66" t="s">
        <v>50</v>
      </c>
      <c r="I66">
        <v>0</v>
      </c>
      <c r="J66">
        <v>1.1000000000000001</v>
      </c>
      <c r="K66">
        <v>0.5</v>
      </c>
      <c r="L66">
        <v>0.28583333333333327</v>
      </c>
      <c r="M66">
        <v>5.2266666666666666</v>
      </c>
      <c r="N66">
        <v>0</v>
      </c>
      <c r="O66">
        <v>0</v>
      </c>
    </row>
    <row r="67" spans="1:15" x14ac:dyDescent="0.45">
      <c r="A67" t="s">
        <v>49</v>
      </c>
      <c r="B67">
        <v>18</v>
      </c>
      <c r="C67" t="s">
        <v>50</v>
      </c>
      <c r="D67">
        <v>3.5</v>
      </c>
      <c r="E67">
        <v>4.666666666666667</v>
      </c>
      <c r="G67">
        <v>0</v>
      </c>
      <c r="H67" t="s">
        <v>50</v>
      </c>
      <c r="I67">
        <v>0</v>
      </c>
      <c r="J67">
        <v>1.1000000000000001</v>
      </c>
      <c r="K67">
        <v>0.5</v>
      </c>
      <c r="L67">
        <v>0.28583333333333327</v>
      </c>
      <c r="M67">
        <v>5.2266666666666666</v>
      </c>
      <c r="N67">
        <v>0</v>
      </c>
      <c r="O67">
        <v>0</v>
      </c>
    </row>
    <row r="68" spans="1:15" x14ac:dyDescent="0.45">
      <c r="A68" t="s">
        <v>49</v>
      </c>
      <c r="B68">
        <v>19</v>
      </c>
      <c r="C68" t="s">
        <v>50</v>
      </c>
      <c r="D68">
        <v>3.5</v>
      </c>
      <c r="E68">
        <v>4.666666666666667</v>
      </c>
      <c r="G68">
        <v>0</v>
      </c>
      <c r="H68" t="s">
        <v>50</v>
      </c>
      <c r="I68">
        <v>0</v>
      </c>
      <c r="J68">
        <v>1.1000000000000001</v>
      </c>
      <c r="K68">
        <v>0.5</v>
      </c>
      <c r="L68">
        <v>0.28583333333333327</v>
      </c>
      <c r="M68">
        <v>5.2266666666666666</v>
      </c>
      <c r="N68">
        <v>0</v>
      </c>
      <c r="O68">
        <v>0</v>
      </c>
    </row>
    <row r="69" spans="1:15" x14ac:dyDescent="0.45">
      <c r="A69" t="s">
        <v>49</v>
      </c>
      <c r="B69">
        <v>20</v>
      </c>
      <c r="C69" t="s">
        <v>50</v>
      </c>
      <c r="D69">
        <v>3.5</v>
      </c>
      <c r="E69">
        <v>4.666666666666667</v>
      </c>
      <c r="G69">
        <v>0</v>
      </c>
      <c r="H69" t="s">
        <v>50</v>
      </c>
      <c r="I69">
        <v>0</v>
      </c>
      <c r="J69">
        <v>1.1000000000000001</v>
      </c>
      <c r="K69">
        <v>0.5</v>
      </c>
      <c r="L69">
        <v>0.28583333333333327</v>
      </c>
      <c r="M69">
        <v>5.2266666666666666</v>
      </c>
      <c r="N69">
        <v>0</v>
      </c>
      <c r="O69">
        <v>0</v>
      </c>
    </row>
    <row r="70" spans="1:15" x14ac:dyDescent="0.45">
      <c r="A70" t="s">
        <v>49</v>
      </c>
      <c r="B70">
        <v>21</v>
      </c>
      <c r="C70" t="s">
        <v>50</v>
      </c>
      <c r="D70">
        <v>3.5</v>
      </c>
      <c r="E70">
        <v>4.666666666666667</v>
      </c>
      <c r="G70">
        <v>0</v>
      </c>
      <c r="H70" t="s">
        <v>50</v>
      </c>
      <c r="I70">
        <v>0</v>
      </c>
      <c r="J70">
        <v>1.1000000000000001</v>
      </c>
      <c r="K70">
        <v>0.5</v>
      </c>
      <c r="L70">
        <v>0.28583333333333327</v>
      </c>
      <c r="M70">
        <v>5.2266666666666666</v>
      </c>
      <c r="N70">
        <v>0</v>
      </c>
      <c r="O70">
        <v>0</v>
      </c>
    </row>
    <row r="71" spans="1:15" x14ac:dyDescent="0.45">
      <c r="A71" t="s">
        <v>49</v>
      </c>
      <c r="B71">
        <v>22</v>
      </c>
      <c r="C71" t="s">
        <v>50</v>
      </c>
      <c r="D71">
        <v>1.75</v>
      </c>
      <c r="E71">
        <v>2.333333333333333</v>
      </c>
      <c r="G71">
        <v>0</v>
      </c>
      <c r="H71" t="s">
        <v>50</v>
      </c>
      <c r="I71">
        <v>0</v>
      </c>
      <c r="J71">
        <v>1.1000000000000001</v>
      </c>
      <c r="K71">
        <v>0.5</v>
      </c>
      <c r="L71">
        <v>0.28583333333333327</v>
      </c>
      <c r="M71">
        <v>2.6133333333333342</v>
      </c>
      <c r="N71">
        <v>0</v>
      </c>
      <c r="O71">
        <v>0</v>
      </c>
    </row>
    <row r="72" spans="1:15" x14ac:dyDescent="0.45">
      <c r="A72" t="s">
        <v>49</v>
      </c>
      <c r="B72">
        <v>23</v>
      </c>
      <c r="C72" t="s">
        <v>34</v>
      </c>
      <c r="D72">
        <v>3.5</v>
      </c>
      <c r="E72">
        <v>4.666666666666667</v>
      </c>
      <c r="G72">
        <v>0</v>
      </c>
      <c r="H72" t="s">
        <v>34</v>
      </c>
      <c r="I72">
        <v>0</v>
      </c>
      <c r="J72">
        <v>0</v>
      </c>
      <c r="K72">
        <v>0.5</v>
      </c>
      <c r="L72">
        <v>0.28583333333333327</v>
      </c>
      <c r="M72">
        <v>5.2266666666666666</v>
      </c>
      <c r="N72">
        <v>0</v>
      </c>
      <c r="O72">
        <v>0</v>
      </c>
    </row>
    <row r="73" spans="1:15" x14ac:dyDescent="0.45">
      <c r="A73" t="s">
        <v>49</v>
      </c>
      <c r="B73">
        <v>24</v>
      </c>
      <c r="C73" t="s">
        <v>34</v>
      </c>
      <c r="D73">
        <v>3.5</v>
      </c>
      <c r="E73">
        <v>4.666666666666667</v>
      </c>
      <c r="G73">
        <v>0</v>
      </c>
      <c r="H73" t="s">
        <v>34</v>
      </c>
      <c r="I73">
        <v>0</v>
      </c>
      <c r="J73">
        <v>0</v>
      </c>
      <c r="K73">
        <v>0.5</v>
      </c>
      <c r="L73">
        <v>0.28583333333333327</v>
      </c>
      <c r="M73">
        <v>5.2266666666666666</v>
      </c>
      <c r="N73">
        <v>0</v>
      </c>
      <c r="O73">
        <v>0</v>
      </c>
    </row>
    <row r="74" spans="1:15" x14ac:dyDescent="0.45">
      <c r="A74" t="s">
        <v>45</v>
      </c>
      <c r="B74">
        <v>1</v>
      </c>
      <c r="C74" t="s">
        <v>44</v>
      </c>
      <c r="D74">
        <v>0</v>
      </c>
      <c r="E74">
        <v>0</v>
      </c>
      <c r="F74" t="s">
        <v>95</v>
      </c>
      <c r="G74">
        <v>20</v>
      </c>
      <c r="H74" t="s">
        <v>44</v>
      </c>
      <c r="I74">
        <v>0</v>
      </c>
      <c r="J74">
        <v>1.1000000000000001</v>
      </c>
      <c r="K74">
        <v>0.5</v>
      </c>
      <c r="L74">
        <v>0.28583333333333327</v>
      </c>
      <c r="M74">
        <v>0</v>
      </c>
      <c r="N74">
        <v>1.5350379746835441</v>
      </c>
      <c r="O74">
        <v>96</v>
      </c>
    </row>
    <row r="75" spans="1:15" x14ac:dyDescent="0.45">
      <c r="A75" t="s">
        <v>45</v>
      </c>
      <c r="B75">
        <v>2</v>
      </c>
      <c r="C75" t="s">
        <v>44</v>
      </c>
      <c r="D75">
        <v>3.5</v>
      </c>
      <c r="E75">
        <v>4.666666666666667</v>
      </c>
      <c r="G75">
        <v>0</v>
      </c>
      <c r="H75" t="s">
        <v>44</v>
      </c>
      <c r="I75">
        <v>0</v>
      </c>
      <c r="J75">
        <v>1.1000000000000001</v>
      </c>
      <c r="K75">
        <v>0.5</v>
      </c>
      <c r="L75">
        <v>0.28583333333333327</v>
      </c>
      <c r="M75">
        <v>5.2266666666666666</v>
      </c>
      <c r="N75">
        <v>0</v>
      </c>
      <c r="O75">
        <v>0</v>
      </c>
    </row>
    <row r="76" spans="1:15" x14ac:dyDescent="0.45">
      <c r="A76" t="s">
        <v>45</v>
      </c>
      <c r="B76">
        <v>3</v>
      </c>
      <c r="C76" t="s">
        <v>44</v>
      </c>
      <c r="D76">
        <v>3.5</v>
      </c>
      <c r="E76">
        <v>4.666666666666667</v>
      </c>
      <c r="G76">
        <v>0</v>
      </c>
      <c r="H76" t="s">
        <v>44</v>
      </c>
      <c r="I76">
        <v>0</v>
      </c>
      <c r="J76">
        <v>1.1000000000000001</v>
      </c>
      <c r="K76">
        <v>0.5</v>
      </c>
      <c r="L76">
        <v>0.28583333333333327</v>
      </c>
      <c r="M76">
        <v>5.2266666666666666</v>
      </c>
      <c r="N76">
        <v>0</v>
      </c>
      <c r="O76">
        <v>0</v>
      </c>
    </row>
    <row r="77" spans="1:15" x14ac:dyDescent="0.45">
      <c r="A77" t="s">
        <v>45</v>
      </c>
      <c r="B77">
        <v>4</v>
      </c>
      <c r="C77" t="s">
        <v>44</v>
      </c>
      <c r="D77">
        <v>3.5</v>
      </c>
      <c r="E77">
        <v>4.666666666666667</v>
      </c>
      <c r="G77">
        <v>0</v>
      </c>
      <c r="H77" t="s">
        <v>44</v>
      </c>
      <c r="I77">
        <v>0</v>
      </c>
      <c r="J77">
        <v>1.1000000000000001</v>
      </c>
      <c r="K77">
        <v>0.5</v>
      </c>
      <c r="L77">
        <v>0.28583333333333327</v>
      </c>
      <c r="M77">
        <v>5.2266666666666666</v>
      </c>
      <c r="N77">
        <v>0</v>
      </c>
      <c r="O77">
        <v>0</v>
      </c>
    </row>
    <row r="78" spans="1:15" x14ac:dyDescent="0.45">
      <c r="A78" t="s">
        <v>45</v>
      </c>
      <c r="B78">
        <v>5</v>
      </c>
      <c r="C78" t="s">
        <v>44</v>
      </c>
      <c r="D78">
        <v>3.5</v>
      </c>
      <c r="E78">
        <v>4.666666666666667</v>
      </c>
      <c r="G78">
        <v>0</v>
      </c>
      <c r="H78" t="s">
        <v>44</v>
      </c>
      <c r="I78">
        <v>0</v>
      </c>
      <c r="J78">
        <v>1.1000000000000001</v>
      </c>
      <c r="K78">
        <v>0.5</v>
      </c>
      <c r="L78">
        <v>0.28583333333333327</v>
      </c>
      <c r="M78">
        <v>5.2266666666666666</v>
      </c>
      <c r="N78">
        <v>0</v>
      </c>
      <c r="O78">
        <v>0</v>
      </c>
    </row>
    <row r="79" spans="1:15" x14ac:dyDescent="0.45">
      <c r="A79" t="s">
        <v>45</v>
      </c>
      <c r="B79">
        <v>6</v>
      </c>
      <c r="C79" t="s">
        <v>44</v>
      </c>
      <c r="D79">
        <v>3.5</v>
      </c>
      <c r="E79">
        <v>4.666666666666667</v>
      </c>
      <c r="G79">
        <v>0</v>
      </c>
      <c r="H79" t="s">
        <v>44</v>
      </c>
      <c r="I79">
        <v>0</v>
      </c>
      <c r="J79">
        <v>1.1000000000000001</v>
      </c>
      <c r="K79">
        <v>0.5</v>
      </c>
      <c r="L79">
        <v>0.28583333333333327</v>
      </c>
      <c r="M79">
        <v>5.2266666666666666</v>
      </c>
      <c r="N79">
        <v>0</v>
      </c>
      <c r="O79">
        <v>0</v>
      </c>
    </row>
    <row r="80" spans="1:15" x14ac:dyDescent="0.45">
      <c r="A80" t="s">
        <v>45</v>
      </c>
      <c r="B80">
        <v>7</v>
      </c>
      <c r="C80" t="s">
        <v>44</v>
      </c>
      <c r="D80">
        <v>3.5</v>
      </c>
      <c r="E80">
        <v>4.666666666666667</v>
      </c>
      <c r="G80">
        <v>0</v>
      </c>
      <c r="H80" t="s">
        <v>44</v>
      </c>
      <c r="I80">
        <v>0</v>
      </c>
      <c r="J80">
        <v>1.1000000000000001</v>
      </c>
      <c r="K80">
        <v>0.5</v>
      </c>
      <c r="L80">
        <v>0.28583333333333327</v>
      </c>
      <c r="M80">
        <v>5.2266666666666666</v>
      </c>
      <c r="N80">
        <v>0</v>
      </c>
      <c r="O80">
        <v>0</v>
      </c>
    </row>
    <row r="81" spans="1:15" x14ac:dyDescent="0.45">
      <c r="A81" t="s">
        <v>45</v>
      </c>
      <c r="B81">
        <v>8</v>
      </c>
      <c r="C81" t="s">
        <v>44</v>
      </c>
      <c r="D81">
        <v>3.5</v>
      </c>
      <c r="E81">
        <v>4.666666666666667</v>
      </c>
      <c r="G81">
        <v>0</v>
      </c>
      <c r="H81" t="s">
        <v>44</v>
      </c>
      <c r="I81">
        <v>0</v>
      </c>
      <c r="J81">
        <v>1.1000000000000001</v>
      </c>
      <c r="K81">
        <v>0.5</v>
      </c>
      <c r="L81">
        <v>0.28583333333333327</v>
      </c>
      <c r="M81">
        <v>5.2266666666666666</v>
      </c>
      <c r="N81">
        <v>0</v>
      </c>
      <c r="O81">
        <v>0</v>
      </c>
    </row>
    <row r="82" spans="1:15" x14ac:dyDescent="0.45">
      <c r="A82" t="s">
        <v>45</v>
      </c>
      <c r="B82">
        <v>9</v>
      </c>
      <c r="C82" t="s">
        <v>44</v>
      </c>
      <c r="D82">
        <v>3.5</v>
      </c>
      <c r="E82">
        <v>4.666666666666667</v>
      </c>
      <c r="G82">
        <v>0</v>
      </c>
      <c r="H82" t="s">
        <v>44</v>
      </c>
      <c r="I82">
        <v>0</v>
      </c>
      <c r="J82">
        <v>1.1000000000000001</v>
      </c>
      <c r="K82">
        <v>0.5</v>
      </c>
      <c r="L82">
        <v>0.28583333333333327</v>
      </c>
      <c r="M82">
        <v>5.2266666666666666</v>
      </c>
      <c r="N82">
        <v>0</v>
      </c>
      <c r="O82">
        <v>0</v>
      </c>
    </row>
    <row r="83" spans="1:15" x14ac:dyDescent="0.45">
      <c r="A83" t="s">
        <v>45</v>
      </c>
      <c r="B83">
        <v>10</v>
      </c>
      <c r="C83" t="s">
        <v>44</v>
      </c>
      <c r="D83">
        <v>3.5</v>
      </c>
      <c r="E83">
        <v>4.666666666666667</v>
      </c>
      <c r="G83">
        <v>0</v>
      </c>
      <c r="H83" t="s">
        <v>44</v>
      </c>
      <c r="I83">
        <v>0</v>
      </c>
      <c r="J83">
        <v>1.1000000000000001</v>
      </c>
      <c r="K83">
        <v>0.5</v>
      </c>
      <c r="L83">
        <v>0.28583333333333327</v>
      </c>
      <c r="M83">
        <v>5.2266666666666666</v>
      </c>
      <c r="N83">
        <v>0</v>
      </c>
      <c r="O83">
        <v>0</v>
      </c>
    </row>
    <row r="84" spans="1:15" x14ac:dyDescent="0.45">
      <c r="A84" t="s">
        <v>45</v>
      </c>
      <c r="B84">
        <v>11</v>
      </c>
      <c r="C84" t="s">
        <v>44</v>
      </c>
      <c r="D84">
        <v>3.5</v>
      </c>
      <c r="E84">
        <v>4.666666666666667</v>
      </c>
      <c r="G84">
        <v>0</v>
      </c>
      <c r="H84" t="s">
        <v>44</v>
      </c>
      <c r="I84">
        <v>0</v>
      </c>
      <c r="J84">
        <v>1.1000000000000001</v>
      </c>
      <c r="K84">
        <v>0.5</v>
      </c>
      <c r="L84">
        <v>0.28583333333333327</v>
      </c>
      <c r="M84">
        <v>5.2266666666666666</v>
      </c>
      <c r="N84">
        <v>0</v>
      </c>
      <c r="O84">
        <v>0</v>
      </c>
    </row>
    <row r="85" spans="1:15" x14ac:dyDescent="0.45">
      <c r="A85" t="s">
        <v>45</v>
      </c>
      <c r="B85">
        <v>12</v>
      </c>
      <c r="C85" t="s">
        <v>44</v>
      </c>
      <c r="D85">
        <v>3.5</v>
      </c>
      <c r="E85">
        <v>4.666666666666667</v>
      </c>
      <c r="G85">
        <v>0</v>
      </c>
      <c r="H85" t="s">
        <v>44</v>
      </c>
      <c r="I85">
        <v>0</v>
      </c>
      <c r="J85">
        <v>1.1000000000000001</v>
      </c>
      <c r="K85">
        <v>0.5</v>
      </c>
      <c r="L85">
        <v>0.28583333333333327</v>
      </c>
      <c r="M85">
        <v>5.2266666666666666</v>
      </c>
      <c r="N85">
        <v>0</v>
      </c>
      <c r="O85">
        <v>0</v>
      </c>
    </row>
    <row r="86" spans="1:15" x14ac:dyDescent="0.45">
      <c r="A86" t="s">
        <v>45</v>
      </c>
      <c r="B86">
        <v>13</v>
      </c>
      <c r="C86" t="s">
        <v>44</v>
      </c>
      <c r="D86">
        <v>3.5</v>
      </c>
      <c r="E86">
        <v>4.666666666666667</v>
      </c>
      <c r="G86">
        <v>0</v>
      </c>
      <c r="H86" t="s">
        <v>44</v>
      </c>
      <c r="I86">
        <v>0</v>
      </c>
      <c r="J86">
        <v>1.1000000000000001</v>
      </c>
      <c r="K86">
        <v>0.5</v>
      </c>
      <c r="L86">
        <v>0.28583333333333327</v>
      </c>
      <c r="M86">
        <v>5.2266666666666666</v>
      </c>
      <c r="N86">
        <v>0</v>
      </c>
      <c r="O86">
        <v>0</v>
      </c>
    </row>
    <row r="87" spans="1:15" x14ac:dyDescent="0.45">
      <c r="A87" t="s">
        <v>45</v>
      </c>
      <c r="B87">
        <v>14</v>
      </c>
      <c r="C87" t="s">
        <v>44</v>
      </c>
      <c r="D87">
        <v>3.5</v>
      </c>
      <c r="E87">
        <v>4.666666666666667</v>
      </c>
      <c r="G87">
        <v>0</v>
      </c>
      <c r="H87" t="s">
        <v>44</v>
      </c>
      <c r="I87">
        <v>0</v>
      </c>
      <c r="J87">
        <v>1.1000000000000001</v>
      </c>
      <c r="K87">
        <v>0.5</v>
      </c>
      <c r="L87">
        <v>0.28583333333333327</v>
      </c>
      <c r="M87">
        <v>5.2266666666666666</v>
      </c>
      <c r="N87">
        <v>0</v>
      </c>
      <c r="O87">
        <v>0</v>
      </c>
    </row>
    <row r="88" spans="1:15" x14ac:dyDescent="0.45">
      <c r="A88" t="s">
        <v>45</v>
      </c>
      <c r="B88">
        <v>15</v>
      </c>
      <c r="C88" t="s">
        <v>44</v>
      </c>
      <c r="D88">
        <v>2.5</v>
      </c>
      <c r="E88">
        <v>3.333333333333333</v>
      </c>
      <c r="G88">
        <v>0</v>
      </c>
      <c r="H88" t="s">
        <v>44</v>
      </c>
      <c r="I88">
        <v>0</v>
      </c>
      <c r="J88">
        <v>1.1000000000000001</v>
      </c>
      <c r="K88">
        <v>0.5</v>
      </c>
      <c r="L88">
        <v>0.28583333333333327</v>
      </c>
      <c r="M88">
        <v>3.7333333333333338</v>
      </c>
      <c r="N88">
        <v>0</v>
      </c>
      <c r="O88">
        <v>0</v>
      </c>
    </row>
    <row r="89" spans="1:15" x14ac:dyDescent="0.45">
      <c r="A89" t="s">
        <v>45</v>
      </c>
      <c r="B89">
        <v>16</v>
      </c>
      <c r="C89" t="s">
        <v>51</v>
      </c>
      <c r="D89">
        <v>0</v>
      </c>
      <c r="E89">
        <v>0</v>
      </c>
      <c r="F89" t="s">
        <v>95</v>
      </c>
      <c r="G89">
        <v>20</v>
      </c>
      <c r="H89" t="s">
        <v>51</v>
      </c>
      <c r="I89">
        <v>0</v>
      </c>
      <c r="J89">
        <v>1.1000000000000001</v>
      </c>
      <c r="K89">
        <v>0.5</v>
      </c>
      <c r="L89">
        <v>0.28583333333333327</v>
      </c>
      <c r="M89">
        <v>0</v>
      </c>
      <c r="N89">
        <v>1.6867594936708861</v>
      </c>
      <c r="O89">
        <v>42</v>
      </c>
    </row>
    <row r="90" spans="1:15" x14ac:dyDescent="0.45">
      <c r="A90" t="s">
        <v>45</v>
      </c>
      <c r="B90">
        <v>17</v>
      </c>
      <c r="C90" t="s">
        <v>51</v>
      </c>
      <c r="D90">
        <v>3.5</v>
      </c>
      <c r="E90">
        <v>4.666666666666667</v>
      </c>
      <c r="G90">
        <v>0</v>
      </c>
      <c r="H90" t="s">
        <v>51</v>
      </c>
      <c r="I90">
        <v>0</v>
      </c>
      <c r="J90">
        <v>1.1000000000000001</v>
      </c>
      <c r="K90">
        <v>0.5</v>
      </c>
      <c r="L90">
        <v>0.28583333333333327</v>
      </c>
      <c r="M90">
        <v>5.2266666666666666</v>
      </c>
      <c r="N90">
        <v>0</v>
      </c>
      <c r="O90">
        <v>0</v>
      </c>
    </row>
    <row r="91" spans="1:15" x14ac:dyDescent="0.45">
      <c r="A91" t="s">
        <v>45</v>
      </c>
      <c r="B91">
        <v>18</v>
      </c>
      <c r="C91" t="s">
        <v>51</v>
      </c>
      <c r="D91">
        <v>3.5</v>
      </c>
      <c r="E91">
        <v>4.666666666666667</v>
      </c>
      <c r="G91">
        <v>0</v>
      </c>
      <c r="H91" t="s">
        <v>51</v>
      </c>
      <c r="I91">
        <v>0</v>
      </c>
      <c r="J91">
        <v>1.1000000000000001</v>
      </c>
      <c r="K91">
        <v>0.5</v>
      </c>
      <c r="L91">
        <v>0.28583333333333327</v>
      </c>
      <c r="M91">
        <v>5.2266666666666666</v>
      </c>
      <c r="N91">
        <v>0</v>
      </c>
      <c r="O91">
        <v>0</v>
      </c>
    </row>
    <row r="92" spans="1:15" x14ac:dyDescent="0.45">
      <c r="A92" t="s">
        <v>45</v>
      </c>
      <c r="B92">
        <v>19</v>
      </c>
      <c r="C92" t="s">
        <v>51</v>
      </c>
      <c r="D92">
        <v>3.5</v>
      </c>
      <c r="E92">
        <v>4.666666666666667</v>
      </c>
      <c r="G92">
        <v>0</v>
      </c>
      <c r="H92" t="s">
        <v>51</v>
      </c>
      <c r="I92">
        <v>0</v>
      </c>
      <c r="J92">
        <v>1.1000000000000001</v>
      </c>
      <c r="K92">
        <v>0.5</v>
      </c>
      <c r="L92">
        <v>0.28583333333333327</v>
      </c>
      <c r="M92">
        <v>5.2266666666666666</v>
      </c>
      <c r="N92">
        <v>0</v>
      </c>
      <c r="O92">
        <v>0</v>
      </c>
    </row>
    <row r="93" spans="1:15" x14ac:dyDescent="0.45">
      <c r="A93" t="s">
        <v>45</v>
      </c>
      <c r="B93">
        <v>20</v>
      </c>
      <c r="C93" t="s">
        <v>51</v>
      </c>
      <c r="D93">
        <v>3.5</v>
      </c>
      <c r="E93">
        <v>4.666666666666667</v>
      </c>
      <c r="G93">
        <v>0</v>
      </c>
      <c r="H93" t="s">
        <v>51</v>
      </c>
      <c r="I93">
        <v>0</v>
      </c>
      <c r="J93">
        <v>1.1000000000000001</v>
      </c>
      <c r="K93">
        <v>0.5</v>
      </c>
      <c r="L93">
        <v>0.28583333333333327</v>
      </c>
      <c r="M93">
        <v>5.2266666666666666</v>
      </c>
      <c r="N93">
        <v>0</v>
      </c>
      <c r="O93">
        <v>0</v>
      </c>
    </row>
    <row r="94" spans="1:15" x14ac:dyDescent="0.45">
      <c r="A94" t="s">
        <v>45</v>
      </c>
      <c r="B94">
        <v>21</v>
      </c>
      <c r="C94" t="s">
        <v>51</v>
      </c>
      <c r="D94">
        <v>3.5</v>
      </c>
      <c r="E94">
        <v>4.666666666666667</v>
      </c>
      <c r="G94">
        <v>0</v>
      </c>
      <c r="H94" t="s">
        <v>51</v>
      </c>
      <c r="I94">
        <v>0</v>
      </c>
      <c r="J94">
        <v>1.1000000000000001</v>
      </c>
      <c r="K94">
        <v>0.5</v>
      </c>
      <c r="L94">
        <v>0.28583333333333327</v>
      </c>
      <c r="M94">
        <v>5.2266666666666666</v>
      </c>
      <c r="N94">
        <v>0</v>
      </c>
      <c r="O94">
        <v>0</v>
      </c>
    </row>
    <row r="95" spans="1:15" x14ac:dyDescent="0.45">
      <c r="A95" t="s">
        <v>45</v>
      </c>
      <c r="B95">
        <v>22</v>
      </c>
      <c r="C95" t="s">
        <v>51</v>
      </c>
      <c r="D95">
        <v>3.5</v>
      </c>
      <c r="E95">
        <v>4.666666666666667</v>
      </c>
      <c r="G95">
        <v>0</v>
      </c>
      <c r="H95" t="s">
        <v>51</v>
      </c>
      <c r="I95">
        <v>0</v>
      </c>
      <c r="J95">
        <v>1.1000000000000001</v>
      </c>
      <c r="K95">
        <v>0.5</v>
      </c>
      <c r="L95">
        <v>0.28583333333333327</v>
      </c>
      <c r="M95">
        <v>5.2266666666666666</v>
      </c>
      <c r="N95">
        <v>0</v>
      </c>
      <c r="O95">
        <v>0</v>
      </c>
    </row>
    <row r="96" spans="1:15" x14ac:dyDescent="0.45">
      <c r="A96" t="s">
        <v>45</v>
      </c>
      <c r="B96">
        <v>23</v>
      </c>
      <c r="C96" t="s">
        <v>72</v>
      </c>
      <c r="D96">
        <v>0</v>
      </c>
      <c r="E96">
        <v>0</v>
      </c>
      <c r="F96" t="s">
        <v>95</v>
      </c>
      <c r="G96">
        <v>20</v>
      </c>
      <c r="H96" t="s">
        <v>72</v>
      </c>
      <c r="I96">
        <v>0</v>
      </c>
      <c r="J96">
        <v>0</v>
      </c>
      <c r="K96">
        <v>0.5</v>
      </c>
      <c r="L96">
        <v>0.28583333333333327</v>
      </c>
      <c r="M96">
        <v>0</v>
      </c>
      <c r="N96">
        <v>0.35898734177215191</v>
      </c>
      <c r="O96">
        <v>3</v>
      </c>
    </row>
    <row r="97" spans="1:15" x14ac:dyDescent="0.45">
      <c r="A97" t="s">
        <v>45</v>
      </c>
      <c r="B97">
        <v>24</v>
      </c>
      <c r="C97" t="s">
        <v>72</v>
      </c>
      <c r="D97">
        <v>1.5</v>
      </c>
      <c r="E97">
        <v>2</v>
      </c>
      <c r="G97">
        <v>0</v>
      </c>
      <c r="H97" t="s">
        <v>72</v>
      </c>
      <c r="I97">
        <v>0</v>
      </c>
      <c r="J97">
        <v>0</v>
      </c>
      <c r="K97">
        <v>0.5</v>
      </c>
      <c r="L97">
        <v>0.28583333333333327</v>
      </c>
      <c r="M97">
        <v>2.2400000000000002</v>
      </c>
      <c r="N97">
        <v>0</v>
      </c>
      <c r="O97">
        <v>0</v>
      </c>
    </row>
    <row r="98" spans="1:15" x14ac:dyDescent="0.45">
      <c r="A98" t="s">
        <v>41</v>
      </c>
      <c r="B98">
        <v>1</v>
      </c>
      <c r="C98" t="s">
        <v>39</v>
      </c>
      <c r="D98">
        <v>0</v>
      </c>
      <c r="E98">
        <v>0</v>
      </c>
      <c r="F98" t="s">
        <v>95</v>
      </c>
      <c r="G98">
        <v>20</v>
      </c>
      <c r="H98" t="s">
        <v>39</v>
      </c>
      <c r="I98">
        <v>0</v>
      </c>
      <c r="J98">
        <v>1.1000000000000001</v>
      </c>
      <c r="K98">
        <v>0.5</v>
      </c>
      <c r="L98">
        <v>0.28583333333333327</v>
      </c>
      <c r="M98">
        <v>0</v>
      </c>
      <c r="N98">
        <v>0.35356962025316457</v>
      </c>
      <c r="O98">
        <v>154.5</v>
      </c>
    </row>
    <row r="99" spans="1:15" x14ac:dyDescent="0.45">
      <c r="A99" t="s">
        <v>41</v>
      </c>
      <c r="B99">
        <v>2</v>
      </c>
      <c r="C99" t="s">
        <v>39</v>
      </c>
      <c r="D99">
        <v>3.5</v>
      </c>
      <c r="E99">
        <v>4.666666666666667</v>
      </c>
      <c r="G99">
        <v>0</v>
      </c>
      <c r="H99" t="s">
        <v>39</v>
      </c>
      <c r="I99">
        <v>0</v>
      </c>
      <c r="J99">
        <v>1.1000000000000001</v>
      </c>
      <c r="K99">
        <v>0.5</v>
      </c>
      <c r="L99">
        <v>0.28583333333333327</v>
      </c>
      <c r="M99">
        <v>5.2266666666666666</v>
      </c>
      <c r="N99">
        <v>0</v>
      </c>
      <c r="O99">
        <v>0</v>
      </c>
    </row>
    <row r="100" spans="1:15" x14ac:dyDescent="0.45">
      <c r="A100" t="s">
        <v>41</v>
      </c>
      <c r="B100">
        <v>3</v>
      </c>
      <c r="C100" t="s">
        <v>39</v>
      </c>
      <c r="D100">
        <v>3.5</v>
      </c>
      <c r="E100">
        <v>4.666666666666667</v>
      </c>
      <c r="G100">
        <v>0</v>
      </c>
      <c r="H100" t="s">
        <v>39</v>
      </c>
      <c r="I100">
        <v>0</v>
      </c>
      <c r="J100">
        <v>1.1000000000000001</v>
      </c>
      <c r="K100">
        <v>0.5</v>
      </c>
      <c r="L100">
        <v>0.28583333333333327</v>
      </c>
      <c r="M100">
        <v>5.2266666666666666</v>
      </c>
      <c r="N100">
        <v>0</v>
      </c>
      <c r="O100">
        <v>0</v>
      </c>
    </row>
    <row r="101" spans="1:15" x14ac:dyDescent="0.45">
      <c r="A101" t="s">
        <v>41</v>
      </c>
      <c r="B101">
        <v>4</v>
      </c>
      <c r="C101" t="s">
        <v>39</v>
      </c>
      <c r="D101">
        <v>3.5</v>
      </c>
      <c r="E101">
        <v>4.666666666666667</v>
      </c>
      <c r="G101">
        <v>0</v>
      </c>
      <c r="H101" t="s">
        <v>39</v>
      </c>
      <c r="I101">
        <v>0</v>
      </c>
      <c r="J101">
        <v>1.1000000000000001</v>
      </c>
      <c r="K101">
        <v>0.5</v>
      </c>
      <c r="L101">
        <v>0.28583333333333327</v>
      </c>
      <c r="M101">
        <v>5.2266666666666666</v>
      </c>
      <c r="N101">
        <v>0</v>
      </c>
      <c r="O101">
        <v>0</v>
      </c>
    </row>
    <row r="102" spans="1:15" x14ac:dyDescent="0.45">
      <c r="A102" t="s">
        <v>41</v>
      </c>
      <c r="B102">
        <v>5</v>
      </c>
      <c r="C102" t="s">
        <v>39</v>
      </c>
      <c r="D102">
        <v>3.5</v>
      </c>
      <c r="E102">
        <v>4.666666666666667</v>
      </c>
      <c r="G102">
        <v>0</v>
      </c>
      <c r="H102" t="s">
        <v>39</v>
      </c>
      <c r="I102">
        <v>0</v>
      </c>
      <c r="J102">
        <v>1.1000000000000001</v>
      </c>
      <c r="K102">
        <v>0.5</v>
      </c>
      <c r="L102">
        <v>0.28583333333333327</v>
      </c>
      <c r="M102">
        <v>5.2266666666666666</v>
      </c>
      <c r="N102">
        <v>0</v>
      </c>
      <c r="O102">
        <v>0</v>
      </c>
    </row>
    <row r="103" spans="1:15" x14ac:dyDescent="0.45">
      <c r="A103" t="s">
        <v>41</v>
      </c>
      <c r="B103">
        <v>6</v>
      </c>
      <c r="C103" t="s">
        <v>39</v>
      </c>
      <c r="D103">
        <v>3.5</v>
      </c>
      <c r="E103">
        <v>4.666666666666667</v>
      </c>
      <c r="G103">
        <v>0</v>
      </c>
      <c r="H103" t="s">
        <v>39</v>
      </c>
      <c r="I103">
        <v>0</v>
      </c>
      <c r="J103">
        <v>1.1000000000000001</v>
      </c>
      <c r="K103">
        <v>0.5</v>
      </c>
      <c r="L103">
        <v>0.28583333333333327</v>
      </c>
      <c r="M103">
        <v>5.2266666666666666</v>
      </c>
      <c r="N103">
        <v>0</v>
      </c>
      <c r="O103">
        <v>0</v>
      </c>
    </row>
    <row r="104" spans="1:15" x14ac:dyDescent="0.45">
      <c r="A104" t="s">
        <v>41</v>
      </c>
      <c r="B104">
        <v>7</v>
      </c>
      <c r="C104" t="s">
        <v>39</v>
      </c>
      <c r="D104">
        <v>3.5</v>
      </c>
      <c r="E104">
        <v>4.666666666666667</v>
      </c>
      <c r="G104">
        <v>0</v>
      </c>
      <c r="H104" t="s">
        <v>39</v>
      </c>
      <c r="I104">
        <v>0</v>
      </c>
      <c r="J104">
        <v>1.1000000000000001</v>
      </c>
      <c r="K104">
        <v>0.5</v>
      </c>
      <c r="L104">
        <v>0.28583333333333327</v>
      </c>
      <c r="M104">
        <v>5.2266666666666666</v>
      </c>
      <c r="N104">
        <v>0</v>
      </c>
      <c r="O104">
        <v>0</v>
      </c>
    </row>
    <row r="105" spans="1:15" x14ac:dyDescent="0.45">
      <c r="A105" t="s">
        <v>41</v>
      </c>
      <c r="B105">
        <v>8</v>
      </c>
      <c r="C105" t="s">
        <v>39</v>
      </c>
      <c r="D105">
        <v>3.5</v>
      </c>
      <c r="E105">
        <v>4.666666666666667</v>
      </c>
      <c r="G105">
        <v>0</v>
      </c>
      <c r="H105" t="s">
        <v>39</v>
      </c>
      <c r="I105">
        <v>0</v>
      </c>
      <c r="J105">
        <v>1.1000000000000001</v>
      </c>
      <c r="K105">
        <v>0.5</v>
      </c>
      <c r="L105">
        <v>0.28583333333333327</v>
      </c>
      <c r="M105">
        <v>5.2266666666666666</v>
      </c>
      <c r="N105">
        <v>0</v>
      </c>
      <c r="O105">
        <v>0</v>
      </c>
    </row>
    <row r="106" spans="1:15" x14ac:dyDescent="0.45">
      <c r="A106" t="s">
        <v>41</v>
      </c>
      <c r="B106">
        <v>9</v>
      </c>
      <c r="C106" t="s">
        <v>39</v>
      </c>
      <c r="D106">
        <v>3.5</v>
      </c>
      <c r="E106">
        <v>4.666666666666667</v>
      </c>
      <c r="G106">
        <v>0</v>
      </c>
      <c r="H106" t="s">
        <v>39</v>
      </c>
      <c r="I106">
        <v>0</v>
      </c>
      <c r="J106">
        <v>1.1000000000000001</v>
      </c>
      <c r="K106">
        <v>0.5</v>
      </c>
      <c r="L106">
        <v>0.28583333333333327</v>
      </c>
      <c r="M106">
        <v>5.2266666666666666</v>
      </c>
      <c r="N106">
        <v>0</v>
      </c>
      <c r="O106">
        <v>0</v>
      </c>
    </row>
    <row r="107" spans="1:15" x14ac:dyDescent="0.45">
      <c r="A107" t="s">
        <v>41</v>
      </c>
      <c r="B107">
        <v>10</v>
      </c>
      <c r="C107" t="s">
        <v>39</v>
      </c>
      <c r="D107">
        <v>3.5</v>
      </c>
      <c r="E107">
        <v>4.666666666666667</v>
      </c>
      <c r="G107">
        <v>0</v>
      </c>
      <c r="H107" t="s">
        <v>39</v>
      </c>
      <c r="I107">
        <v>0</v>
      </c>
      <c r="J107">
        <v>1.1000000000000001</v>
      </c>
      <c r="K107">
        <v>0.5</v>
      </c>
      <c r="L107">
        <v>0.28583333333333327</v>
      </c>
      <c r="M107">
        <v>5.2266666666666666</v>
      </c>
      <c r="N107">
        <v>0</v>
      </c>
      <c r="O107">
        <v>0</v>
      </c>
    </row>
    <row r="108" spans="1:15" x14ac:dyDescent="0.45">
      <c r="A108" t="s">
        <v>41</v>
      </c>
      <c r="B108">
        <v>11</v>
      </c>
      <c r="C108" t="s">
        <v>39</v>
      </c>
      <c r="D108">
        <v>3.5</v>
      </c>
      <c r="E108">
        <v>4.666666666666667</v>
      </c>
      <c r="G108">
        <v>0</v>
      </c>
      <c r="H108" t="s">
        <v>39</v>
      </c>
      <c r="I108">
        <v>0</v>
      </c>
      <c r="J108">
        <v>1.1000000000000001</v>
      </c>
      <c r="K108">
        <v>0.5</v>
      </c>
      <c r="L108">
        <v>0.28583333333333327</v>
      </c>
      <c r="M108">
        <v>5.2266666666666666</v>
      </c>
      <c r="N108">
        <v>0</v>
      </c>
      <c r="O108">
        <v>0</v>
      </c>
    </row>
    <row r="109" spans="1:15" x14ac:dyDescent="0.45">
      <c r="A109" t="s">
        <v>41</v>
      </c>
      <c r="B109">
        <v>12</v>
      </c>
      <c r="C109" t="s">
        <v>39</v>
      </c>
      <c r="D109">
        <v>3.5</v>
      </c>
      <c r="E109">
        <v>4.666666666666667</v>
      </c>
      <c r="G109">
        <v>0</v>
      </c>
      <c r="H109" t="s">
        <v>39</v>
      </c>
      <c r="I109">
        <v>0</v>
      </c>
      <c r="J109">
        <v>1.1000000000000001</v>
      </c>
      <c r="K109">
        <v>0.5</v>
      </c>
      <c r="L109">
        <v>0.28583333333333327</v>
      </c>
      <c r="M109">
        <v>5.2266666666666666</v>
      </c>
      <c r="N109">
        <v>0</v>
      </c>
      <c r="O109">
        <v>0</v>
      </c>
    </row>
    <row r="110" spans="1:15" x14ac:dyDescent="0.45">
      <c r="A110" t="s">
        <v>41</v>
      </c>
      <c r="B110">
        <v>13</v>
      </c>
      <c r="C110" t="s">
        <v>39</v>
      </c>
      <c r="D110">
        <v>3.5</v>
      </c>
      <c r="E110">
        <v>4.666666666666667</v>
      </c>
      <c r="G110">
        <v>0</v>
      </c>
      <c r="H110" t="s">
        <v>39</v>
      </c>
      <c r="I110">
        <v>0</v>
      </c>
      <c r="J110">
        <v>1.1000000000000001</v>
      </c>
      <c r="K110">
        <v>0.5</v>
      </c>
      <c r="L110">
        <v>0.28583333333333327</v>
      </c>
      <c r="M110">
        <v>5.2266666666666666</v>
      </c>
      <c r="N110">
        <v>0</v>
      </c>
      <c r="O110">
        <v>0</v>
      </c>
    </row>
    <row r="111" spans="1:15" x14ac:dyDescent="0.45">
      <c r="A111" t="s">
        <v>41</v>
      </c>
      <c r="B111">
        <v>14</v>
      </c>
      <c r="C111" t="s">
        <v>39</v>
      </c>
      <c r="D111">
        <v>3.5</v>
      </c>
      <c r="E111">
        <v>4.666666666666667</v>
      </c>
      <c r="G111">
        <v>0</v>
      </c>
      <c r="H111" t="s">
        <v>39</v>
      </c>
      <c r="I111">
        <v>0</v>
      </c>
      <c r="J111">
        <v>1.1000000000000001</v>
      </c>
      <c r="K111">
        <v>0.5</v>
      </c>
      <c r="L111">
        <v>0.28583333333333327</v>
      </c>
      <c r="M111">
        <v>5.2266666666666666</v>
      </c>
      <c r="N111">
        <v>0</v>
      </c>
      <c r="O111">
        <v>0</v>
      </c>
    </row>
    <row r="112" spans="1:15" x14ac:dyDescent="0.45">
      <c r="A112" t="s">
        <v>41</v>
      </c>
      <c r="B112">
        <v>15</v>
      </c>
      <c r="C112" t="s">
        <v>39</v>
      </c>
      <c r="D112">
        <v>3.5</v>
      </c>
      <c r="E112">
        <v>4.666666666666667</v>
      </c>
      <c r="G112">
        <v>0</v>
      </c>
      <c r="H112" t="s">
        <v>39</v>
      </c>
      <c r="I112">
        <v>0</v>
      </c>
      <c r="J112">
        <v>1.1000000000000001</v>
      </c>
      <c r="K112">
        <v>0.5</v>
      </c>
      <c r="L112">
        <v>0.28583333333333327</v>
      </c>
      <c r="M112">
        <v>5.2266666666666666</v>
      </c>
      <c r="N112">
        <v>0</v>
      </c>
      <c r="O112">
        <v>0</v>
      </c>
    </row>
    <row r="113" spans="1:15" x14ac:dyDescent="0.45">
      <c r="A113" t="s">
        <v>41</v>
      </c>
      <c r="B113">
        <v>16</v>
      </c>
      <c r="C113" t="s">
        <v>39</v>
      </c>
      <c r="D113">
        <v>3.5</v>
      </c>
      <c r="E113">
        <v>4.666666666666667</v>
      </c>
      <c r="G113">
        <v>0</v>
      </c>
      <c r="H113" t="s">
        <v>39</v>
      </c>
      <c r="I113">
        <v>0</v>
      </c>
      <c r="J113">
        <v>1.1000000000000001</v>
      </c>
      <c r="K113">
        <v>0.5</v>
      </c>
      <c r="L113">
        <v>0.28583333333333327</v>
      </c>
      <c r="M113">
        <v>5.2266666666666666</v>
      </c>
      <c r="N113">
        <v>0</v>
      </c>
      <c r="O113">
        <v>0</v>
      </c>
    </row>
    <row r="114" spans="1:15" x14ac:dyDescent="0.45">
      <c r="A114" t="s">
        <v>41</v>
      </c>
      <c r="B114">
        <v>17</v>
      </c>
      <c r="C114" t="s">
        <v>39</v>
      </c>
      <c r="D114">
        <v>3.5</v>
      </c>
      <c r="E114">
        <v>4.666666666666667</v>
      </c>
      <c r="G114">
        <v>0</v>
      </c>
      <c r="H114" t="s">
        <v>39</v>
      </c>
      <c r="I114">
        <v>0</v>
      </c>
      <c r="J114">
        <v>1.1000000000000001</v>
      </c>
      <c r="K114">
        <v>0.5</v>
      </c>
      <c r="L114">
        <v>0.28583333333333327</v>
      </c>
      <c r="M114">
        <v>5.2266666666666666</v>
      </c>
      <c r="N114">
        <v>0</v>
      </c>
      <c r="O114">
        <v>0</v>
      </c>
    </row>
    <row r="115" spans="1:15" x14ac:dyDescent="0.45">
      <c r="A115" t="s">
        <v>41</v>
      </c>
      <c r="B115">
        <v>18</v>
      </c>
      <c r="C115" t="s">
        <v>39</v>
      </c>
      <c r="D115">
        <v>3.5</v>
      </c>
      <c r="E115">
        <v>4.666666666666667</v>
      </c>
      <c r="G115">
        <v>0</v>
      </c>
      <c r="H115" t="s">
        <v>39</v>
      </c>
      <c r="I115">
        <v>0</v>
      </c>
      <c r="J115">
        <v>1.1000000000000001</v>
      </c>
      <c r="K115">
        <v>0.5</v>
      </c>
      <c r="L115">
        <v>0.28583333333333327</v>
      </c>
      <c r="M115">
        <v>5.2266666666666666</v>
      </c>
      <c r="N115">
        <v>0</v>
      </c>
      <c r="O115">
        <v>0</v>
      </c>
    </row>
    <row r="116" spans="1:15" x14ac:dyDescent="0.45">
      <c r="A116" t="s">
        <v>41</v>
      </c>
      <c r="B116">
        <v>19</v>
      </c>
      <c r="C116" t="s">
        <v>39</v>
      </c>
      <c r="D116">
        <v>3.5</v>
      </c>
      <c r="E116">
        <v>4.666666666666667</v>
      </c>
      <c r="G116">
        <v>0</v>
      </c>
      <c r="H116" t="s">
        <v>39</v>
      </c>
      <c r="I116">
        <v>0</v>
      </c>
      <c r="J116">
        <v>1.1000000000000001</v>
      </c>
      <c r="K116">
        <v>0.5</v>
      </c>
      <c r="L116">
        <v>0.28583333333333327</v>
      </c>
      <c r="M116">
        <v>5.2266666666666666</v>
      </c>
      <c r="N116">
        <v>0</v>
      </c>
      <c r="O116">
        <v>0</v>
      </c>
    </row>
    <row r="117" spans="1:15" x14ac:dyDescent="0.45">
      <c r="A117" t="s">
        <v>41</v>
      </c>
      <c r="B117">
        <v>20</v>
      </c>
      <c r="C117" t="s">
        <v>39</v>
      </c>
      <c r="D117">
        <v>3.5</v>
      </c>
      <c r="E117">
        <v>4.666666666666667</v>
      </c>
      <c r="G117">
        <v>0</v>
      </c>
      <c r="H117" t="s">
        <v>39</v>
      </c>
      <c r="I117">
        <v>0</v>
      </c>
      <c r="J117">
        <v>1.1000000000000001</v>
      </c>
      <c r="K117">
        <v>0.5</v>
      </c>
      <c r="L117">
        <v>0.28583333333333327</v>
      </c>
      <c r="M117">
        <v>5.2266666666666666</v>
      </c>
      <c r="N117">
        <v>0</v>
      </c>
      <c r="O117">
        <v>0</v>
      </c>
    </row>
    <row r="118" spans="1:15" x14ac:dyDescent="0.45">
      <c r="A118" t="s">
        <v>41</v>
      </c>
      <c r="B118">
        <v>21</v>
      </c>
      <c r="C118" t="s">
        <v>39</v>
      </c>
      <c r="D118">
        <v>3.5</v>
      </c>
      <c r="E118">
        <v>4.666666666666667</v>
      </c>
      <c r="G118">
        <v>0</v>
      </c>
      <c r="H118" t="s">
        <v>39</v>
      </c>
      <c r="I118">
        <v>0</v>
      </c>
      <c r="J118">
        <v>1.1000000000000001</v>
      </c>
      <c r="K118">
        <v>0.5</v>
      </c>
      <c r="L118">
        <v>0.28583333333333327</v>
      </c>
      <c r="M118">
        <v>5.2266666666666666</v>
      </c>
      <c r="N118">
        <v>0</v>
      </c>
      <c r="O118">
        <v>0</v>
      </c>
    </row>
    <row r="119" spans="1:15" x14ac:dyDescent="0.45">
      <c r="A119" t="s">
        <v>41</v>
      </c>
      <c r="B119">
        <v>22</v>
      </c>
      <c r="C119" t="s">
        <v>39</v>
      </c>
      <c r="D119">
        <v>3.5</v>
      </c>
      <c r="E119">
        <v>4.666666666666667</v>
      </c>
      <c r="G119">
        <v>0</v>
      </c>
      <c r="H119" t="s">
        <v>39</v>
      </c>
      <c r="I119">
        <v>0</v>
      </c>
      <c r="J119">
        <v>1.1000000000000001</v>
      </c>
      <c r="K119">
        <v>0.5</v>
      </c>
      <c r="L119">
        <v>0.28583333333333327</v>
      </c>
      <c r="M119">
        <v>5.2266666666666666</v>
      </c>
      <c r="N119">
        <v>0</v>
      </c>
      <c r="O119">
        <v>0</v>
      </c>
    </row>
    <row r="120" spans="1:15" x14ac:dyDescent="0.45">
      <c r="A120" t="s">
        <v>41</v>
      </c>
      <c r="B120">
        <v>23</v>
      </c>
      <c r="C120" t="s">
        <v>39</v>
      </c>
      <c r="D120">
        <v>3.5</v>
      </c>
      <c r="E120">
        <v>4.666666666666667</v>
      </c>
      <c r="G120">
        <v>0</v>
      </c>
      <c r="H120" t="s">
        <v>39</v>
      </c>
      <c r="I120">
        <v>0</v>
      </c>
      <c r="J120">
        <v>1.1000000000000001</v>
      </c>
      <c r="K120">
        <v>0.5</v>
      </c>
      <c r="L120">
        <v>0.28583333333333327</v>
      </c>
      <c r="M120">
        <v>5.2266666666666666</v>
      </c>
      <c r="N120">
        <v>0</v>
      </c>
      <c r="O120">
        <v>0</v>
      </c>
    </row>
    <row r="121" spans="1:15" x14ac:dyDescent="0.45">
      <c r="A121" t="s">
        <v>41</v>
      </c>
      <c r="B121">
        <v>24</v>
      </c>
      <c r="C121" t="s">
        <v>39</v>
      </c>
      <c r="D121">
        <v>0.25</v>
      </c>
      <c r="E121">
        <v>0.33333333333333331</v>
      </c>
      <c r="G121">
        <v>0</v>
      </c>
      <c r="H121" t="s">
        <v>39</v>
      </c>
      <c r="I121">
        <v>0</v>
      </c>
      <c r="J121">
        <v>1.1000000000000001</v>
      </c>
      <c r="K121">
        <v>0.5</v>
      </c>
      <c r="L121">
        <v>0.28583333333333327</v>
      </c>
      <c r="M121">
        <v>0.37333333333333341</v>
      </c>
      <c r="N121">
        <v>0</v>
      </c>
      <c r="O121">
        <v>0</v>
      </c>
    </row>
    <row r="122" spans="1:15" x14ac:dyDescent="0.45">
      <c r="A122" t="s">
        <v>47</v>
      </c>
      <c r="B122">
        <v>1</v>
      </c>
      <c r="C122" t="s">
        <v>59</v>
      </c>
      <c r="D122">
        <v>0</v>
      </c>
      <c r="E122">
        <v>0</v>
      </c>
      <c r="F122" t="s">
        <v>95</v>
      </c>
      <c r="G122">
        <v>20</v>
      </c>
      <c r="H122" t="s">
        <v>59</v>
      </c>
      <c r="I122">
        <v>0</v>
      </c>
      <c r="J122">
        <v>1.1000000000000001</v>
      </c>
      <c r="K122">
        <v>0.5</v>
      </c>
      <c r="L122">
        <v>0.28583333333333327</v>
      </c>
      <c r="M122">
        <v>0</v>
      </c>
      <c r="N122">
        <v>0.35898734177215191</v>
      </c>
      <c r="O122">
        <v>13.5</v>
      </c>
    </row>
    <row r="123" spans="1:15" x14ac:dyDescent="0.45">
      <c r="A123" t="s">
        <v>47</v>
      </c>
      <c r="B123">
        <v>2</v>
      </c>
      <c r="C123" t="s">
        <v>59</v>
      </c>
      <c r="D123">
        <v>3.5</v>
      </c>
      <c r="E123">
        <v>4.666666666666667</v>
      </c>
      <c r="G123">
        <v>0</v>
      </c>
      <c r="H123" t="s">
        <v>59</v>
      </c>
      <c r="I123">
        <v>0</v>
      </c>
      <c r="J123">
        <v>1.1000000000000001</v>
      </c>
      <c r="K123">
        <v>0.5</v>
      </c>
      <c r="L123">
        <v>0.28583333333333327</v>
      </c>
      <c r="M123">
        <v>5.2266666666666666</v>
      </c>
      <c r="N123">
        <v>0</v>
      </c>
      <c r="O123">
        <v>0</v>
      </c>
    </row>
    <row r="124" spans="1:15" x14ac:dyDescent="0.45">
      <c r="A124" t="s">
        <v>47</v>
      </c>
      <c r="B124">
        <v>3</v>
      </c>
      <c r="C124" t="s">
        <v>59</v>
      </c>
      <c r="D124">
        <v>3.25</v>
      </c>
      <c r="E124">
        <v>4.333333333333333</v>
      </c>
      <c r="G124">
        <v>0</v>
      </c>
      <c r="H124" t="s">
        <v>59</v>
      </c>
      <c r="I124">
        <v>0</v>
      </c>
      <c r="J124">
        <v>1.1000000000000001</v>
      </c>
      <c r="K124">
        <v>0.5</v>
      </c>
      <c r="L124">
        <v>0.28583333333333327</v>
      </c>
      <c r="M124">
        <v>4.8533333333333326</v>
      </c>
      <c r="N124">
        <v>0</v>
      </c>
      <c r="O124">
        <v>0</v>
      </c>
    </row>
    <row r="125" spans="1:15" x14ac:dyDescent="0.45">
      <c r="A125" t="s">
        <v>47</v>
      </c>
      <c r="B125">
        <v>4</v>
      </c>
      <c r="C125" t="s">
        <v>46</v>
      </c>
      <c r="D125">
        <v>0</v>
      </c>
      <c r="E125">
        <v>0</v>
      </c>
      <c r="F125" t="s">
        <v>95</v>
      </c>
      <c r="G125">
        <v>20</v>
      </c>
      <c r="H125" t="s">
        <v>46</v>
      </c>
      <c r="I125">
        <v>0</v>
      </c>
      <c r="J125">
        <v>1.1000000000000001</v>
      </c>
      <c r="K125">
        <v>0.5</v>
      </c>
      <c r="L125">
        <v>0.28583333333333327</v>
      </c>
      <c r="M125">
        <v>0</v>
      </c>
      <c r="N125">
        <v>0.41706329113924051</v>
      </c>
      <c r="O125">
        <v>91.5</v>
      </c>
    </row>
    <row r="126" spans="1:15" x14ac:dyDescent="0.45">
      <c r="A126" t="s">
        <v>47</v>
      </c>
      <c r="B126">
        <v>5</v>
      </c>
      <c r="C126" t="s">
        <v>46</v>
      </c>
      <c r="D126">
        <v>3.5</v>
      </c>
      <c r="E126">
        <v>4.666666666666667</v>
      </c>
      <c r="G126">
        <v>0</v>
      </c>
      <c r="H126" t="s">
        <v>46</v>
      </c>
      <c r="I126">
        <v>0</v>
      </c>
      <c r="J126">
        <v>1.1000000000000001</v>
      </c>
      <c r="K126">
        <v>0.5</v>
      </c>
      <c r="L126">
        <v>0.28583333333333327</v>
      </c>
      <c r="M126">
        <v>5.2266666666666666</v>
      </c>
      <c r="N126">
        <v>0</v>
      </c>
      <c r="O126">
        <v>0</v>
      </c>
    </row>
    <row r="127" spans="1:15" x14ac:dyDescent="0.45">
      <c r="A127" t="s">
        <v>47</v>
      </c>
      <c r="B127">
        <v>6</v>
      </c>
      <c r="C127" t="s">
        <v>46</v>
      </c>
      <c r="D127">
        <v>3.5</v>
      </c>
      <c r="E127">
        <v>4.666666666666667</v>
      </c>
      <c r="G127">
        <v>0</v>
      </c>
      <c r="H127" t="s">
        <v>46</v>
      </c>
      <c r="I127">
        <v>0</v>
      </c>
      <c r="J127">
        <v>1.1000000000000001</v>
      </c>
      <c r="K127">
        <v>0.5</v>
      </c>
      <c r="L127">
        <v>0.28583333333333327</v>
      </c>
      <c r="M127">
        <v>5.2266666666666666</v>
      </c>
      <c r="N127">
        <v>0</v>
      </c>
      <c r="O127">
        <v>0</v>
      </c>
    </row>
    <row r="128" spans="1:15" x14ac:dyDescent="0.45">
      <c r="A128" t="s">
        <v>47</v>
      </c>
      <c r="B128">
        <v>7</v>
      </c>
      <c r="C128" t="s">
        <v>46</v>
      </c>
      <c r="D128">
        <v>3.5</v>
      </c>
      <c r="E128">
        <v>4.666666666666667</v>
      </c>
      <c r="G128">
        <v>0</v>
      </c>
      <c r="H128" t="s">
        <v>46</v>
      </c>
      <c r="I128">
        <v>0</v>
      </c>
      <c r="J128">
        <v>1.1000000000000001</v>
      </c>
      <c r="K128">
        <v>0.5</v>
      </c>
      <c r="L128">
        <v>0.28583333333333327</v>
      </c>
      <c r="M128">
        <v>5.2266666666666666</v>
      </c>
      <c r="N128">
        <v>0</v>
      </c>
      <c r="O128">
        <v>0</v>
      </c>
    </row>
    <row r="129" spans="1:15" x14ac:dyDescent="0.45">
      <c r="A129" t="s">
        <v>47</v>
      </c>
      <c r="B129">
        <v>8</v>
      </c>
      <c r="C129" t="s">
        <v>46</v>
      </c>
      <c r="D129">
        <v>3.5</v>
      </c>
      <c r="E129">
        <v>4.666666666666667</v>
      </c>
      <c r="G129">
        <v>0</v>
      </c>
      <c r="H129" t="s">
        <v>46</v>
      </c>
      <c r="I129">
        <v>0</v>
      </c>
      <c r="J129">
        <v>1.1000000000000001</v>
      </c>
      <c r="K129">
        <v>0.5</v>
      </c>
      <c r="L129">
        <v>0.28583333333333327</v>
      </c>
      <c r="M129">
        <v>5.2266666666666666</v>
      </c>
      <c r="N129">
        <v>0</v>
      </c>
      <c r="O129">
        <v>0</v>
      </c>
    </row>
    <row r="130" spans="1:15" x14ac:dyDescent="0.45">
      <c r="A130" t="s">
        <v>47</v>
      </c>
      <c r="B130">
        <v>9</v>
      </c>
      <c r="C130" t="s">
        <v>46</v>
      </c>
      <c r="D130">
        <v>3.5</v>
      </c>
      <c r="E130">
        <v>4.666666666666667</v>
      </c>
      <c r="G130">
        <v>0</v>
      </c>
      <c r="H130" t="s">
        <v>46</v>
      </c>
      <c r="I130">
        <v>0</v>
      </c>
      <c r="J130">
        <v>1.1000000000000001</v>
      </c>
      <c r="K130">
        <v>0.5</v>
      </c>
      <c r="L130">
        <v>0.28583333333333327</v>
      </c>
      <c r="M130">
        <v>5.2266666666666666</v>
      </c>
      <c r="N130">
        <v>0</v>
      </c>
      <c r="O130">
        <v>0</v>
      </c>
    </row>
    <row r="131" spans="1:15" x14ac:dyDescent="0.45">
      <c r="A131" t="s">
        <v>47</v>
      </c>
      <c r="B131">
        <v>10</v>
      </c>
      <c r="C131" t="s">
        <v>46</v>
      </c>
      <c r="D131">
        <v>3.5</v>
      </c>
      <c r="E131">
        <v>4.666666666666667</v>
      </c>
      <c r="G131">
        <v>0</v>
      </c>
      <c r="H131" t="s">
        <v>46</v>
      </c>
      <c r="I131">
        <v>0</v>
      </c>
      <c r="J131">
        <v>1.1000000000000001</v>
      </c>
      <c r="K131">
        <v>0.5</v>
      </c>
      <c r="L131">
        <v>0.28583333333333327</v>
      </c>
      <c r="M131">
        <v>5.2266666666666666</v>
      </c>
      <c r="N131">
        <v>0</v>
      </c>
      <c r="O131">
        <v>0</v>
      </c>
    </row>
    <row r="132" spans="1:15" x14ac:dyDescent="0.45">
      <c r="A132" t="s">
        <v>47</v>
      </c>
      <c r="B132">
        <v>11</v>
      </c>
      <c r="C132" t="s">
        <v>46</v>
      </c>
      <c r="D132">
        <v>3.5</v>
      </c>
      <c r="E132">
        <v>4.666666666666667</v>
      </c>
      <c r="G132">
        <v>0</v>
      </c>
      <c r="H132" t="s">
        <v>46</v>
      </c>
      <c r="I132">
        <v>0</v>
      </c>
      <c r="J132">
        <v>1.1000000000000001</v>
      </c>
      <c r="K132">
        <v>0.5</v>
      </c>
      <c r="L132">
        <v>0.28583333333333327</v>
      </c>
      <c r="M132">
        <v>5.2266666666666666</v>
      </c>
      <c r="N132">
        <v>0</v>
      </c>
      <c r="O132">
        <v>0</v>
      </c>
    </row>
    <row r="133" spans="1:15" x14ac:dyDescent="0.45">
      <c r="A133" t="s">
        <v>47</v>
      </c>
      <c r="B133">
        <v>12</v>
      </c>
      <c r="C133" t="s">
        <v>46</v>
      </c>
      <c r="D133">
        <v>3.5</v>
      </c>
      <c r="E133">
        <v>4.666666666666667</v>
      </c>
      <c r="G133">
        <v>0</v>
      </c>
      <c r="H133" t="s">
        <v>46</v>
      </c>
      <c r="I133">
        <v>0</v>
      </c>
      <c r="J133">
        <v>1.1000000000000001</v>
      </c>
      <c r="K133">
        <v>0.5</v>
      </c>
      <c r="L133">
        <v>0.28583333333333327</v>
      </c>
      <c r="M133">
        <v>5.2266666666666666</v>
      </c>
      <c r="N133">
        <v>0</v>
      </c>
      <c r="O133">
        <v>0</v>
      </c>
    </row>
    <row r="134" spans="1:15" x14ac:dyDescent="0.45">
      <c r="A134" t="s">
        <v>47</v>
      </c>
      <c r="B134">
        <v>13</v>
      </c>
      <c r="C134" t="s">
        <v>46</v>
      </c>
      <c r="D134">
        <v>3.5</v>
      </c>
      <c r="E134">
        <v>4.666666666666667</v>
      </c>
      <c r="G134">
        <v>0</v>
      </c>
      <c r="H134" t="s">
        <v>46</v>
      </c>
      <c r="I134">
        <v>0</v>
      </c>
      <c r="J134">
        <v>1.1000000000000001</v>
      </c>
      <c r="K134">
        <v>0.5</v>
      </c>
      <c r="L134">
        <v>0.28583333333333327</v>
      </c>
      <c r="M134">
        <v>5.2266666666666666</v>
      </c>
      <c r="N134">
        <v>0</v>
      </c>
      <c r="O134">
        <v>0</v>
      </c>
    </row>
    <row r="135" spans="1:15" x14ac:dyDescent="0.45">
      <c r="A135" t="s">
        <v>47</v>
      </c>
      <c r="B135">
        <v>14</v>
      </c>
      <c r="C135" t="s">
        <v>46</v>
      </c>
      <c r="D135">
        <v>3.5</v>
      </c>
      <c r="E135">
        <v>4.666666666666667</v>
      </c>
      <c r="G135">
        <v>0</v>
      </c>
      <c r="H135" t="s">
        <v>46</v>
      </c>
      <c r="I135">
        <v>0</v>
      </c>
      <c r="J135">
        <v>1.1000000000000001</v>
      </c>
      <c r="K135">
        <v>0.5</v>
      </c>
      <c r="L135">
        <v>0.28583333333333327</v>
      </c>
      <c r="M135">
        <v>5.2266666666666666</v>
      </c>
      <c r="N135">
        <v>0</v>
      </c>
      <c r="O135">
        <v>0</v>
      </c>
    </row>
    <row r="136" spans="1:15" x14ac:dyDescent="0.45">
      <c r="A136" t="s">
        <v>47</v>
      </c>
      <c r="B136">
        <v>15</v>
      </c>
      <c r="C136" t="s">
        <v>46</v>
      </c>
      <c r="D136">
        <v>3.5</v>
      </c>
      <c r="E136">
        <v>4.666666666666667</v>
      </c>
      <c r="G136">
        <v>0</v>
      </c>
      <c r="H136" t="s">
        <v>46</v>
      </c>
      <c r="I136">
        <v>0</v>
      </c>
      <c r="J136">
        <v>1.1000000000000001</v>
      </c>
      <c r="K136">
        <v>0.5</v>
      </c>
      <c r="L136">
        <v>0.28583333333333327</v>
      </c>
      <c r="M136">
        <v>5.2266666666666666</v>
      </c>
      <c r="N136">
        <v>0</v>
      </c>
      <c r="O136">
        <v>0</v>
      </c>
    </row>
    <row r="137" spans="1:15" x14ac:dyDescent="0.45">
      <c r="A137" t="s">
        <v>47</v>
      </c>
      <c r="B137">
        <v>16</v>
      </c>
      <c r="C137" t="s">
        <v>46</v>
      </c>
      <c r="D137">
        <v>3.5</v>
      </c>
      <c r="E137">
        <v>4.666666666666667</v>
      </c>
      <c r="G137">
        <v>0</v>
      </c>
      <c r="H137" t="s">
        <v>46</v>
      </c>
      <c r="I137">
        <v>0</v>
      </c>
      <c r="J137">
        <v>1.1000000000000001</v>
      </c>
      <c r="K137">
        <v>0.5</v>
      </c>
      <c r="L137">
        <v>0.28583333333333327</v>
      </c>
      <c r="M137">
        <v>5.2266666666666666</v>
      </c>
      <c r="N137">
        <v>0</v>
      </c>
      <c r="O137">
        <v>0</v>
      </c>
    </row>
    <row r="138" spans="1:15" x14ac:dyDescent="0.45">
      <c r="A138" t="s">
        <v>47</v>
      </c>
      <c r="B138">
        <v>17</v>
      </c>
      <c r="C138" t="s">
        <v>46</v>
      </c>
      <c r="D138">
        <v>3.5</v>
      </c>
      <c r="E138">
        <v>4.666666666666667</v>
      </c>
      <c r="G138">
        <v>0</v>
      </c>
      <c r="H138" t="s">
        <v>46</v>
      </c>
      <c r="I138">
        <v>0</v>
      </c>
      <c r="J138">
        <v>1.1000000000000001</v>
      </c>
      <c r="K138">
        <v>0.5</v>
      </c>
      <c r="L138">
        <v>0.28583333333333327</v>
      </c>
      <c r="M138">
        <v>5.2266666666666666</v>
      </c>
      <c r="N138">
        <v>0</v>
      </c>
      <c r="O138">
        <v>0</v>
      </c>
    </row>
    <row r="139" spans="1:15" x14ac:dyDescent="0.45">
      <c r="A139" t="s">
        <v>47</v>
      </c>
      <c r="B139">
        <v>18</v>
      </c>
      <c r="C139" t="s">
        <v>46</v>
      </c>
      <c r="D139">
        <v>0.25</v>
      </c>
      <c r="E139">
        <v>0.33333333333333331</v>
      </c>
      <c r="G139">
        <v>0</v>
      </c>
      <c r="H139" t="s">
        <v>46</v>
      </c>
      <c r="I139">
        <v>0</v>
      </c>
      <c r="J139">
        <v>1.1000000000000001</v>
      </c>
      <c r="K139">
        <v>0.5</v>
      </c>
      <c r="L139">
        <v>0.28583333333333327</v>
      </c>
      <c r="M139">
        <v>0.37333333333333341</v>
      </c>
      <c r="N139">
        <v>0</v>
      </c>
      <c r="O139">
        <v>0</v>
      </c>
    </row>
    <row r="140" spans="1:15" x14ac:dyDescent="0.45">
      <c r="A140" t="s">
        <v>47</v>
      </c>
      <c r="B140">
        <v>19</v>
      </c>
      <c r="C140" t="s">
        <v>62</v>
      </c>
      <c r="D140">
        <v>0</v>
      </c>
      <c r="E140">
        <v>0</v>
      </c>
      <c r="F140" t="s">
        <v>95</v>
      </c>
      <c r="G140">
        <v>20</v>
      </c>
      <c r="H140" t="s">
        <v>62</v>
      </c>
      <c r="I140">
        <v>0</v>
      </c>
      <c r="J140">
        <v>0</v>
      </c>
      <c r="K140">
        <v>0.5</v>
      </c>
      <c r="L140">
        <v>0.28583333333333327</v>
      </c>
      <c r="M140">
        <v>0</v>
      </c>
      <c r="N140">
        <v>1.5350379746835441</v>
      </c>
      <c r="O140">
        <v>6</v>
      </c>
    </row>
    <row r="141" spans="1:15" x14ac:dyDescent="0.45">
      <c r="A141" t="s">
        <v>47</v>
      </c>
      <c r="B141">
        <v>20</v>
      </c>
      <c r="C141" t="s">
        <v>62</v>
      </c>
      <c r="D141">
        <v>3</v>
      </c>
      <c r="E141">
        <v>4</v>
      </c>
      <c r="G141">
        <v>0</v>
      </c>
      <c r="H141" t="s">
        <v>62</v>
      </c>
      <c r="I141">
        <v>0</v>
      </c>
      <c r="J141">
        <v>0</v>
      </c>
      <c r="K141">
        <v>0.5</v>
      </c>
      <c r="L141">
        <v>0.28583333333333327</v>
      </c>
      <c r="M141">
        <v>4.4800000000000004</v>
      </c>
      <c r="N141">
        <v>0</v>
      </c>
      <c r="O141">
        <v>0</v>
      </c>
    </row>
    <row r="142" spans="1:15" x14ac:dyDescent="0.45">
      <c r="A142" t="s">
        <v>47</v>
      </c>
      <c r="B142">
        <v>21</v>
      </c>
      <c r="C142" t="s">
        <v>34</v>
      </c>
      <c r="D142">
        <v>3.5</v>
      </c>
      <c r="E142">
        <v>4.666666666666667</v>
      </c>
      <c r="G142">
        <v>0</v>
      </c>
      <c r="H142" t="s">
        <v>62</v>
      </c>
      <c r="I142">
        <v>0</v>
      </c>
      <c r="J142">
        <v>0</v>
      </c>
      <c r="K142">
        <v>0.5</v>
      </c>
      <c r="L142">
        <v>0.28583333333333327</v>
      </c>
      <c r="M142">
        <v>5.2266666666666666</v>
      </c>
      <c r="N142">
        <v>0</v>
      </c>
      <c r="O142">
        <v>0</v>
      </c>
    </row>
    <row r="143" spans="1:15" x14ac:dyDescent="0.45">
      <c r="A143" t="s">
        <v>47</v>
      </c>
      <c r="B143">
        <v>22</v>
      </c>
      <c r="C143" t="s">
        <v>34</v>
      </c>
      <c r="D143">
        <v>3.5</v>
      </c>
      <c r="E143">
        <v>4.666666666666667</v>
      </c>
      <c r="G143">
        <v>0</v>
      </c>
      <c r="H143" t="s">
        <v>62</v>
      </c>
      <c r="I143">
        <v>0</v>
      </c>
      <c r="J143">
        <v>0</v>
      </c>
      <c r="K143">
        <v>0.5</v>
      </c>
      <c r="L143">
        <v>0.28583333333333327</v>
      </c>
      <c r="M143">
        <v>5.2266666666666666</v>
      </c>
      <c r="N143">
        <v>0</v>
      </c>
      <c r="O143">
        <v>0</v>
      </c>
    </row>
    <row r="144" spans="1:15" x14ac:dyDescent="0.45">
      <c r="A144" t="s">
        <v>47</v>
      </c>
      <c r="B144">
        <v>23</v>
      </c>
      <c r="C144" t="s">
        <v>34</v>
      </c>
      <c r="D144">
        <v>3.5</v>
      </c>
      <c r="E144">
        <v>4.666666666666667</v>
      </c>
      <c r="G144">
        <v>0</v>
      </c>
      <c r="H144" t="s">
        <v>62</v>
      </c>
      <c r="I144">
        <v>0</v>
      </c>
      <c r="J144">
        <v>0</v>
      </c>
      <c r="K144">
        <v>0.5</v>
      </c>
      <c r="L144">
        <v>0.28583333333333327</v>
      </c>
      <c r="M144">
        <v>5.2266666666666666</v>
      </c>
      <c r="N144">
        <v>0</v>
      </c>
      <c r="O144">
        <v>0</v>
      </c>
    </row>
    <row r="145" spans="1:15" x14ac:dyDescent="0.45">
      <c r="A145" t="s">
        <v>47</v>
      </c>
      <c r="B145">
        <v>24</v>
      </c>
      <c r="C145" t="s">
        <v>34</v>
      </c>
      <c r="D145">
        <v>3.5</v>
      </c>
      <c r="E145">
        <v>4.666666666666667</v>
      </c>
      <c r="G145">
        <v>0</v>
      </c>
      <c r="H145" t="s">
        <v>62</v>
      </c>
      <c r="I145">
        <v>0</v>
      </c>
      <c r="J145">
        <v>0</v>
      </c>
      <c r="K145">
        <v>0.5</v>
      </c>
      <c r="L145">
        <v>0.28583333333333327</v>
      </c>
      <c r="M145">
        <v>5.2266666666666666</v>
      </c>
      <c r="N145">
        <v>0</v>
      </c>
      <c r="O145">
        <v>0</v>
      </c>
    </row>
    <row r="146" spans="1:15" x14ac:dyDescent="0.45">
      <c r="A146" t="s">
        <v>43</v>
      </c>
      <c r="B146">
        <v>1</v>
      </c>
      <c r="C146" t="s">
        <v>42</v>
      </c>
      <c r="D146">
        <v>0</v>
      </c>
      <c r="E146">
        <v>0</v>
      </c>
      <c r="F146" t="s">
        <v>95</v>
      </c>
      <c r="G146">
        <v>20</v>
      </c>
      <c r="H146" t="s">
        <v>42</v>
      </c>
      <c r="I146">
        <v>0</v>
      </c>
      <c r="J146">
        <v>1.1000000000000001</v>
      </c>
      <c r="K146">
        <v>0.5</v>
      </c>
      <c r="L146">
        <v>0.28583333333333327</v>
      </c>
      <c r="M146">
        <v>0</v>
      </c>
      <c r="N146">
        <v>0.3468101265822785</v>
      </c>
      <c r="O146">
        <v>106.5</v>
      </c>
    </row>
    <row r="147" spans="1:15" x14ac:dyDescent="0.45">
      <c r="A147" t="s">
        <v>43</v>
      </c>
      <c r="B147">
        <v>2</v>
      </c>
      <c r="C147" t="s">
        <v>42</v>
      </c>
      <c r="D147">
        <v>3.5</v>
      </c>
      <c r="E147">
        <v>4.666666666666667</v>
      </c>
      <c r="G147">
        <v>0</v>
      </c>
      <c r="H147" t="s">
        <v>42</v>
      </c>
      <c r="I147">
        <v>0</v>
      </c>
      <c r="J147">
        <v>1.1000000000000001</v>
      </c>
      <c r="K147">
        <v>0.5</v>
      </c>
      <c r="L147">
        <v>0.28583333333333327</v>
      </c>
      <c r="M147">
        <v>5.2266666666666666</v>
      </c>
      <c r="N147">
        <v>0</v>
      </c>
      <c r="O147">
        <v>0</v>
      </c>
    </row>
    <row r="148" spans="1:15" x14ac:dyDescent="0.45">
      <c r="A148" t="s">
        <v>43</v>
      </c>
      <c r="B148">
        <v>3</v>
      </c>
      <c r="C148" t="s">
        <v>42</v>
      </c>
      <c r="D148">
        <v>3.5</v>
      </c>
      <c r="E148">
        <v>4.666666666666667</v>
      </c>
      <c r="G148">
        <v>0</v>
      </c>
      <c r="H148" t="s">
        <v>42</v>
      </c>
      <c r="I148">
        <v>0</v>
      </c>
      <c r="J148">
        <v>1.1000000000000001</v>
      </c>
      <c r="K148">
        <v>0.5</v>
      </c>
      <c r="L148">
        <v>0.28583333333333327</v>
      </c>
      <c r="M148">
        <v>5.2266666666666666</v>
      </c>
      <c r="N148">
        <v>0</v>
      </c>
      <c r="O148">
        <v>0</v>
      </c>
    </row>
    <row r="149" spans="1:15" x14ac:dyDescent="0.45">
      <c r="A149" t="s">
        <v>43</v>
      </c>
      <c r="B149">
        <v>4</v>
      </c>
      <c r="C149" t="s">
        <v>42</v>
      </c>
      <c r="D149">
        <v>3.5</v>
      </c>
      <c r="E149">
        <v>4.666666666666667</v>
      </c>
      <c r="G149">
        <v>0</v>
      </c>
      <c r="H149" t="s">
        <v>42</v>
      </c>
      <c r="I149">
        <v>0</v>
      </c>
      <c r="J149">
        <v>1.1000000000000001</v>
      </c>
      <c r="K149">
        <v>0.5</v>
      </c>
      <c r="L149">
        <v>0.28583333333333327</v>
      </c>
      <c r="M149">
        <v>5.2266666666666666</v>
      </c>
      <c r="N149">
        <v>0</v>
      </c>
      <c r="O149">
        <v>0</v>
      </c>
    </row>
    <row r="150" spans="1:15" x14ac:dyDescent="0.45">
      <c r="A150" t="s">
        <v>43</v>
      </c>
      <c r="B150">
        <v>5</v>
      </c>
      <c r="C150" t="s">
        <v>42</v>
      </c>
      <c r="D150">
        <v>3.5</v>
      </c>
      <c r="E150">
        <v>4.666666666666667</v>
      </c>
      <c r="G150">
        <v>0</v>
      </c>
      <c r="H150" t="s">
        <v>42</v>
      </c>
      <c r="I150">
        <v>0</v>
      </c>
      <c r="J150">
        <v>1.1000000000000001</v>
      </c>
      <c r="K150">
        <v>0.5</v>
      </c>
      <c r="L150">
        <v>0.28583333333333327</v>
      </c>
      <c r="M150">
        <v>5.2266666666666666</v>
      </c>
      <c r="N150">
        <v>0</v>
      </c>
      <c r="O150">
        <v>0</v>
      </c>
    </row>
    <row r="151" spans="1:15" x14ac:dyDescent="0.45">
      <c r="A151" t="s">
        <v>43</v>
      </c>
      <c r="B151">
        <v>6</v>
      </c>
      <c r="C151" t="s">
        <v>42</v>
      </c>
      <c r="D151">
        <v>3.5</v>
      </c>
      <c r="E151">
        <v>4.666666666666667</v>
      </c>
      <c r="G151">
        <v>0</v>
      </c>
      <c r="H151" t="s">
        <v>42</v>
      </c>
      <c r="I151">
        <v>0</v>
      </c>
      <c r="J151">
        <v>1.1000000000000001</v>
      </c>
      <c r="K151">
        <v>0.5</v>
      </c>
      <c r="L151">
        <v>0.28583333333333327</v>
      </c>
      <c r="M151">
        <v>5.2266666666666666</v>
      </c>
      <c r="N151">
        <v>0</v>
      </c>
      <c r="O151">
        <v>0</v>
      </c>
    </row>
    <row r="152" spans="1:15" x14ac:dyDescent="0.45">
      <c r="A152" t="s">
        <v>43</v>
      </c>
      <c r="B152">
        <v>7</v>
      </c>
      <c r="C152" t="s">
        <v>42</v>
      </c>
      <c r="D152">
        <v>3.5</v>
      </c>
      <c r="E152">
        <v>4.666666666666667</v>
      </c>
      <c r="G152">
        <v>0</v>
      </c>
      <c r="H152" t="s">
        <v>42</v>
      </c>
      <c r="I152">
        <v>0</v>
      </c>
      <c r="J152">
        <v>1.1000000000000001</v>
      </c>
      <c r="K152">
        <v>0.5</v>
      </c>
      <c r="L152">
        <v>0.28583333333333327</v>
      </c>
      <c r="M152">
        <v>5.2266666666666666</v>
      </c>
      <c r="N152">
        <v>0</v>
      </c>
      <c r="O152">
        <v>0</v>
      </c>
    </row>
    <row r="153" spans="1:15" x14ac:dyDescent="0.45">
      <c r="A153" t="s">
        <v>43</v>
      </c>
      <c r="B153">
        <v>8</v>
      </c>
      <c r="C153" t="s">
        <v>42</v>
      </c>
      <c r="D153">
        <v>3.5</v>
      </c>
      <c r="E153">
        <v>4.666666666666667</v>
      </c>
      <c r="G153">
        <v>0</v>
      </c>
      <c r="H153" t="s">
        <v>42</v>
      </c>
      <c r="I153">
        <v>0</v>
      </c>
      <c r="J153">
        <v>1.1000000000000001</v>
      </c>
      <c r="K153">
        <v>0.5</v>
      </c>
      <c r="L153">
        <v>0.28583333333333327</v>
      </c>
      <c r="M153">
        <v>5.2266666666666666</v>
      </c>
      <c r="N153">
        <v>0</v>
      </c>
      <c r="O153">
        <v>0</v>
      </c>
    </row>
    <row r="154" spans="1:15" x14ac:dyDescent="0.45">
      <c r="A154" t="s">
        <v>43</v>
      </c>
      <c r="B154">
        <v>9</v>
      </c>
      <c r="C154" t="s">
        <v>42</v>
      </c>
      <c r="D154">
        <v>3.5</v>
      </c>
      <c r="E154">
        <v>4.666666666666667</v>
      </c>
      <c r="G154">
        <v>0</v>
      </c>
      <c r="H154" t="s">
        <v>42</v>
      </c>
      <c r="I154">
        <v>0</v>
      </c>
      <c r="J154">
        <v>1.1000000000000001</v>
      </c>
      <c r="K154">
        <v>0.5</v>
      </c>
      <c r="L154">
        <v>0.28583333333333327</v>
      </c>
      <c r="M154">
        <v>5.2266666666666666</v>
      </c>
      <c r="N154">
        <v>0</v>
      </c>
      <c r="O154">
        <v>0</v>
      </c>
    </row>
    <row r="155" spans="1:15" x14ac:dyDescent="0.45">
      <c r="A155" t="s">
        <v>43</v>
      </c>
      <c r="B155">
        <v>10</v>
      </c>
      <c r="C155" t="s">
        <v>42</v>
      </c>
      <c r="D155">
        <v>3.5</v>
      </c>
      <c r="E155">
        <v>4.666666666666667</v>
      </c>
      <c r="G155">
        <v>0</v>
      </c>
      <c r="H155" t="s">
        <v>42</v>
      </c>
      <c r="I155">
        <v>0</v>
      </c>
      <c r="J155">
        <v>1.1000000000000001</v>
      </c>
      <c r="K155">
        <v>0.5</v>
      </c>
      <c r="L155">
        <v>0.28583333333333327</v>
      </c>
      <c r="M155">
        <v>5.2266666666666666</v>
      </c>
      <c r="N155">
        <v>0</v>
      </c>
      <c r="O155">
        <v>0</v>
      </c>
    </row>
    <row r="156" spans="1:15" x14ac:dyDescent="0.45">
      <c r="A156" t="s">
        <v>43</v>
      </c>
      <c r="B156">
        <v>11</v>
      </c>
      <c r="C156" t="s">
        <v>42</v>
      </c>
      <c r="D156">
        <v>3.5</v>
      </c>
      <c r="E156">
        <v>4.666666666666667</v>
      </c>
      <c r="G156">
        <v>0</v>
      </c>
      <c r="H156" t="s">
        <v>42</v>
      </c>
      <c r="I156">
        <v>0</v>
      </c>
      <c r="J156">
        <v>1.1000000000000001</v>
      </c>
      <c r="K156">
        <v>0.5</v>
      </c>
      <c r="L156">
        <v>0.28583333333333327</v>
      </c>
      <c r="M156">
        <v>5.2266666666666666</v>
      </c>
      <c r="N156">
        <v>0</v>
      </c>
      <c r="O156">
        <v>0</v>
      </c>
    </row>
    <row r="157" spans="1:15" x14ac:dyDescent="0.45">
      <c r="A157" t="s">
        <v>43</v>
      </c>
      <c r="B157">
        <v>12</v>
      </c>
      <c r="C157" t="s">
        <v>42</v>
      </c>
      <c r="D157">
        <v>3.5</v>
      </c>
      <c r="E157">
        <v>4.666666666666667</v>
      </c>
      <c r="G157">
        <v>0</v>
      </c>
      <c r="H157" t="s">
        <v>42</v>
      </c>
      <c r="I157">
        <v>0</v>
      </c>
      <c r="J157">
        <v>1.1000000000000001</v>
      </c>
      <c r="K157">
        <v>0.5</v>
      </c>
      <c r="L157">
        <v>0.28583333333333327</v>
      </c>
      <c r="M157">
        <v>5.2266666666666666</v>
      </c>
      <c r="N157">
        <v>0</v>
      </c>
      <c r="O157">
        <v>0</v>
      </c>
    </row>
    <row r="158" spans="1:15" x14ac:dyDescent="0.45">
      <c r="A158" t="s">
        <v>43</v>
      </c>
      <c r="B158">
        <v>13</v>
      </c>
      <c r="C158" t="s">
        <v>42</v>
      </c>
      <c r="D158">
        <v>3.5</v>
      </c>
      <c r="E158">
        <v>4.666666666666667</v>
      </c>
      <c r="G158">
        <v>0</v>
      </c>
      <c r="H158" t="s">
        <v>42</v>
      </c>
      <c r="I158">
        <v>0</v>
      </c>
      <c r="J158">
        <v>1.1000000000000001</v>
      </c>
      <c r="K158">
        <v>0.5</v>
      </c>
      <c r="L158">
        <v>0.28583333333333327</v>
      </c>
      <c r="M158">
        <v>5.2266666666666666</v>
      </c>
      <c r="N158">
        <v>0</v>
      </c>
      <c r="O158">
        <v>0</v>
      </c>
    </row>
    <row r="159" spans="1:15" x14ac:dyDescent="0.45">
      <c r="A159" t="s">
        <v>43</v>
      </c>
      <c r="B159">
        <v>14</v>
      </c>
      <c r="C159" t="s">
        <v>42</v>
      </c>
      <c r="D159">
        <v>3.5</v>
      </c>
      <c r="E159">
        <v>4.666666666666667</v>
      </c>
      <c r="G159">
        <v>0</v>
      </c>
      <c r="H159" t="s">
        <v>42</v>
      </c>
      <c r="I159">
        <v>0</v>
      </c>
      <c r="J159">
        <v>1.1000000000000001</v>
      </c>
      <c r="K159">
        <v>0.5</v>
      </c>
      <c r="L159">
        <v>0.28583333333333327</v>
      </c>
      <c r="M159">
        <v>5.2266666666666666</v>
      </c>
      <c r="N159">
        <v>0</v>
      </c>
      <c r="O159">
        <v>0</v>
      </c>
    </row>
    <row r="160" spans="1:15" x14ac:dyDescent="0.45">
      <c r="A160" t="s">
        <v>43</v>
      </c>
      <c r="B160">
        <v>15</v>
      </c>
      <c r="C160" t="s">
        <v>42</v>
      </c>
      <c r="D160">
        <v>3.5</v>
      </c>
      <c r="E160">
        <v>4.666666666666667</v>
      </c>
      <c r="G160">
        <v>0</v>
      </c>
      <c r="H160" t="s">
        <v>42</v>
      </c>
      <c r="I160">
        <v>0</v>
      </c>
      <c r="J160">
        <v>1.1000000000000001</v>
      </c>
      <c r="K160">
        <v>0.5</v>
      </c>
      <c r="L160">
        <v>0.28583333333333327</v>
      </c>
      <c r="M160">
        <v>5.2266666666666666</v>
      </c>
      <c r="N160">
        <v>0</v>
      </c>
      <c r="O160">
        <v>0</v>
      </c>
    </row>
    <row r="161" spans="1:15" x14ac:dyDescent="0.45">
      <c r="A161" t="s">
        <v>43</v>
      </c>
      <c r="B161">
        <v>16</v>
      </c>
      <c r="C161" t="s">
        <v>42</v>
      </c>
      <c r="D161">
        <v>3.5</v>
      </c>
      <c r="E161">
        <v>4.666666666666667</v>
      </c>
      <c r="G161">
        <v>0</v>
      </c>
      <c r="H161" t="s">
        <v>42</v>
      </c>
      <c r="I161">
        <v>0</v>
      </c>
      <c r="J161">
        <v>1.1000000000000001</v>
      </c>
      <c r="K161">
        <v>0.5</v>
      </c>
      <c r="L161">
        <v>0.28583333333333327</v>
      </c>
      <c r="M161">
        <v>5.2266666666666666</v>
      </c>
      <c r="N161">
        <v>0</v>
      </c>
      <c r="O161">
        <v>0</v>
      </c>
    </row>
    <row r="162" spans="1:15" x14ac:dyDescent="0.45">
      <c r="A162" t="s">
        <v>43</v>
      </c>
      <c r="B162">
        <v>17</v>
      </c>
      <c r="C162" t="s">
        <v>42</v>
      </c>
      <c r="D162">
        <v>0.75</v>
      </c>
      <c r="E162">
        <v>1</v>
      </c>
      <c r="G162">
        <v>0</v>
      </c>
      <c r="H162" t="s">
        <v>42</v>
      </c>
      <c r="I162">
        <v>0</v>
      </c>
      <c r="J162">
        <v>1.1000000000000001</v>
      </c>
      <c r="K162">
        <v>0.5</v>
      </c>
      <c r="L162">
        <v>0.28583333333333327</v>
      </c>
      <c r="M162">
        <v>1.1200000000000001</v>
      </c>
      <c r="N162">
        <v>0</v>
      </c>
      <c r="O162">
        <v>0</v>
      </c>
    </row>
    <row r="163" spans="1:15" x14ac:dyDescent="0.45">
      <c r="A163" t="s">
        <v>43</v>
      </c>
      <c r="B163">
        <v>18</v>
      </c>
      <c r="C163" t="s">
        <v>64</v>
      </c>
      <c r="D163">
        <v>0</v>
      </c>
      <c r="E163">
        <v>0</v>
      </c>
      <c r="F163" t="s">
        <v>95</v>
      </c>
      <c r="G163">
        <v>20</v>
      </c>
      <c r="H163" t="s">
        <v>64</v>
      </c>
      <c r="I163">
        <v>0</v>
      </c>
      <c r="J163">
        <v>1.1000000000000001</v>
      </c>
      <c r="K163">
        <v>0.5</v>
      </c>
      <c r="L163">
        <v>0.28583333333333327</v>
      </c>
      <c r="M163">
        <v>0</v>
      </c>
      <c r="N163">
        <v>0.39508860759493669</v>
      </c>
      <c r="O163">
        <v>4.5</v>
      </c>
    </row>
    <row r="164" spans="1:15" x14ac:dyDescent="0.45">
      <c r="A164" t="s">
        <v>43</v>
      </c>
      <c r="B164">
        <v>19</v>
      </c>
      <c r="C164" t="s">
        <v>64</v>
      </c>
      <c r="D164">
        <v>2.25</v>
      </c>
      <c r="E164">
        <v>3</v>
      </c>
      <c r="G164">
        <v>0</v>
      </c>
      <c r="H164" t="s">
        <v>64</v>
      </c>
      <c r="I164">
        <v>0</v>
      </c>
      <c r="J164">
        <v>1.1000000000000001</v>
      </c>
      <c r="K164">
        <v>0.5</v>
      </c>
      <c r="L164">
        <v>0.28583333333333327</v>
      </c>
      <c r="M164">
        <v>3.36</v>
      </c>
      <c r="N164">
        <v>0</v>
      </c>
      <c r="O164">
        <v>0</v>
      </c>
    </row>
    <row r="165" spans="1:15" x14ac:dyDescent="0.45">
      <c r="A165" t="s">
        <v>43</v>
      </c>
      <c r="B165">
        <v>20</v>
      </c>
      <c r="C165" t="s">
        <v>58</v>
      </c>
      <c r="D165">
        <v>0</v>
      </c>
      <c r="E165">
        <v>0</v>
      </c>
      <c r="F165" t="s">
        <v>95</v>
      </c>
      <c r="G165">
        <v>20</v>
      </c>
      <c r="H165" t="s">
        <v>58</v>
      </c>
      <c r="I165">
        <v>0</v>
      </c>
      <c r="J165">
        <v>1.1000000000000001</v>
      </c>
      <c r="K165">
        <v>0.5</v>
      </c>
      <c r="L165">
        <v>0.28583333333333327</v>
      </c>
      <c r="M165">
        <v>0</v>
      </c>
      <c r="N165">
        <v>1.6867594936708861</v>
      </c>
      <c r="O165">
        <v>15</v>
      </c>
    </row>
    <row r="166" spans="1:15" x14ac:dyDescent="0.45">
      <c r="A166" t="s">
        <v>43</v>
      </c>
      <c r="B166">
        <v>21</v>
      </c>
      <c r="C166" t="s">
        <v>58</v>
      </c>
      <c r="D166">
        <v>3.5</v>
      </c>
      <c r="E166">
        <v>4.666666666666667</v>
      </c>
      <c r="G166">
        <v>0</v>
      </c>
      <c r="H166" t="s">
        <v>58</v>
      </c>
      <c r="I166">
        <v>0</v>
      </c>
      <c r="J166">
        <v>1.1000000000000001</v>
      </c>
      <c r="K166">
        <v>0.5</v>
      </c>
      <c r="L166">
        <v>0.28583333333333327</v>
      </c>
      <c r="M166">
        <v>5.2266666666666666</v>
      </c>
      <c r="N166">
        <v>0</v>
      </c>
      <c r="O166">
        <v>0</v>
      </c>
    </row>
    <row r="167" spans="1:15" x14ac:dyDescent="0.45">
      <c r="A167" t="s">
        <v>43</v>
      </c>
      <c r="B167">
        <v>22</v>
      </c>
      <c r="C167" t="s">
        <v>58</v>
      </c>
      <c r="D167">
        <v>3.5</v>
      </c>
      <c r="E167">
        <v>4.666666666666667</v>
      </c>
      <c r="G167">
        <v>0</v>
      </c>
      <c r="H167" t="s">
        <v>58</v>
      </c>
      <c r="I167">
        <v>0</v>
      </c>
      <c r="J167">
        <v>1.1000000000000001</v>
      </c>
      <c r="K167">
        <v>0.5</v>
      </c>
      <c r="L167">
        <v>0.28583333333333327</v>
      </c>
      <c r="M167">
        <v>5.2266666666666666</v>
      </c>
      <c r="N167">
        <v>0</v>
      </c>
      <c r="O167">
        <v>0</v>
      </c>
    </row>
    <row r="168" spans="1:15" x14ac:dyDescent="0.45">
      <c r="A168" t="s">
        <v>43</v>
      </c>
      <c r="B168">
        <v>23</v>
      </c>
      <c r="C168" t="s">
        <v>58</v>
      </c>
      <c r="D168">
        <v>0.5</v>
      </c>
      <c r="E168">
        <v>0.66666666666666663</v>
      </c>
      <c r="G168">
        <v>0</v>
      </c>
      <c r="H168" t="s">
        <v>58</v>
      </c>
      <c r="I168">
        <v>0</v>
      </c>
      <c r="J168">
        <v>1.1000000000000001</v>
      </c>
      <c r="K168">
        <v>0.5</v>
      </c>
      <c r="L168">
        <v>0.28583333333333327</v>
      </c>
      <c r="M168">
        <v>0.7466666666666667</v>
      </c>
      <c r="N168">
        <v>0</v>
      </c>
      <c r="O168">
        <v>0</v>
      </c>
    </row>
    <row r="169" spans="1:15" x14ac:dyDescent="0.45">
      <c r="A169" t="s">
        <v>43</v>
      </c>
      <c r="B169">
        <v>24</v>
      </c>
      <c r="C169" t="s">
        <v>34</v>
      </c>
      <c r="D169">
        <v>3.5</v>
      </c>
      <c r="E169">
        <v>4.666666666666667</v>
      </c>
      <c r="G169">
        <v>0</v>
      </c>
      <c r="H169" t="s">
        <v>34</v>
      </c>
      <c r="I169">
        <v>0</v>
      </c>
      <c r="J169">
        <v>0</v>
      </c>
      <c r="K169">
        <v>0.5</v>
      </c>
      <c r="L169">
        <v>0.28583333333333327</v>
      </c>
      <c r="M169">
        <v>5.2266666666666666</v>
      </c>
      <c r="N169">
        <v>0</v>
      </c>
      <c r="O16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baseColWidth="10" defaultColWidth="9.06640625" defaultRowHeight="14.25" x14ac:dyDescent="0.45"/>
  <sheetData>
    <row r="1" spans="1:8" x14ac:dyDescent="0.45">
      <c r="A1" s="1" t="s">
        <v>17</v>
      </c>
      <c r="B1" s="1" t="s">
        <v>96</v>
      </c>
      <c r="C1" s="1" t="s">
        <v>97</v>
      </c>
      <c r="D1" s="1" t="s">
        <v>28</v>
      </c>
      <c r="E1" s="1" t="s">
        <v>98</v>
      </c>
      <c r="F1" s="1" t="s">
        <v>27</v>
      </c>
      <c r="G1" s="1" t="s">
        <v>99</v>
      </c>
      <c r="H1" s="1" t="s">
        <v>25</v>
      </c>
    </row>
    <row r="2" spans="1:8" x14ac:dyDescent="0.45">
      <c r="A2" t="s">
        <v>52</v>
      </c>
      <c r="B2">
        <v>0</v>
      </c>
      <c r="C2">
        <v>11</v>
      </c>
      <c r="D2">
        <v>22</v>
      </c>
      <c r="E2">
        <v>16.5</v>
      </c>
      <c r="F2">
        <v>33</v>
      </c>
      <c r="G2">
        <v>2.5</v>
      </c>
      <c r="H2">
        <v>1.2976708860759489</v>
      </c>
    </row>
    <row r="3" spans="1:8" x14ac:dyDescent="0.45">
      <c r="A3" t="s">
        <v>57</v>
      </c>
      <c r="B3">
        <v>0</v>
      </c>
      <c r="C3">
        <v>6</v>
      </c>
      <c r="D3">
        <v>12</v>
      </c>
      <c r="E3">
        <v>9</v>
      </c>
      <c r="F3">
        <v>18</v>
      </c>
      <c r="G3">
        <v>1.7</v>
      </c>
      <c r="H3">
        <v>1.6867594936708861</v>
      </c>
    </row>
    <row r="4" spans="1:8" x14ac:dyDescent="0.45">
      <c r="A4" t="s">
        <v>62</v>
      </c>
      <c r="B4">
        <v>0</v>
      </c>
      <c r="C4">
        <v>2</v>
      </c>
      <c r="D4">
        <v>4</v>
      </c>
      <c r="E4">
        <v>3</v>
      </c>
      <c r="F4">
        <v>6</v>
      </c>
      <c r="G4">
        <v>2.5</v>
      </c>
      <c r="H4">
        <v>1.5350379746835441</v>
      </c>
    </row>
    <row r="5" spans="1:8" x14ac:dyDescent="0.45">
      <c r="A5" t="s">
        <v>54</v>
      </c>
      <c r="B5">
        <v>0</v>
      </c>
      <c r="C5">
        <v>11</v>
      </c>
      <c r="D5">
        <v>22</v>
      </c>
      <c r="E5">
        <v>16.5</v>
      </c>
      <c r="F5">
        <v>33</v>
      </c>
      <c r="G5">
        <v>1.7</v>
      </c>
      <c r="H5">
        <v>0.37516455696202528</v>
      </c>
    </row>
    <row r="6" spans="1:8" x14ac:dyDescent="0.45">
      <c r="A6" t="s">
        <v>66</v>
      </c>
      <c r="B6">
        <v>2</v>
      </c>
      <c r="C6">
        <v>0</v>
      </c>
      <c r="D6">
        <v>2</v>
      </c>
      <c r="E6">
        <v>1.5</v>
      </c>
      <c r="F6">
        <v>3</v>
      </c>
      <c r="G6">
        <v>2.5</v>
      </c>
      <c r="H6">
        <v>0.41706329113924051</v>
      </c>
    </row>
    <row r="7" spans="1:8" x14ac:dyDescent="0.45">
      <c r="A7" t="s">
        <v>72</v>
      </c>
      <c r="B7">
        <v>2</v>
      </c>
      <c r="C7">
        <v>0</v>
      </c>
      <c r="D7">
        <v>2</v>
      </c>
      <c r="E7">
        <v>1.5</v>
      </c>
      <c r="F7">
        <v>3</v>
      </c>
      <c r="G7">
        <v>2</v>
      </c>
      <c r="H7">
        <v>0.35898734177215191</v>
      </c>
    </row>
    <row r="8" spans="1:8" x14ac:dyDescent="0.45">
      <c r="A8" t="s">
        <v>59</v>
      </c>
      <c r="B8">
        <v>5</v>
      </c>
      <c r="C8">
        <v>2</v>
      </c>
      <c r="D8">
        <v>9</v>
      </c>
      <c r="E8">
        <v>6.75</v>
      </c>
      <c r="F8">
        <v>13.5</v>
      </c>
      <c r="G8">
        <v>2</v>
      </c>
      <c r="H8">
        <v>0.35898734177215191</v>
      </c>
    </row>
    <row r="9" spans="1:8" x14ac:dyDescent="0.45">
      <c r="A9" t="s">
        <v>68</v>
      </c>
      <c r="B9">
        <v>2</v>
      </c>
      <c r="C9">
        <v>0</v>
      </c>
      <c r="D9">
        <v>2</v>
      </c>
      <c r="E9">
        <v>1.5</v>
      </c>
      <c r="F9">
        <v>3</v>
      </c>
      <c r="G9">
        <v>1.7</v>
      </c>
      <c r="H9">
        <v>0.37516455696202528</v>
      </c>
    </row>
    <row r="10" spans="1:8" x14ac:dyDescent="0.45">
      <c r="A10" t="s">
        <v>56</v>
      </c>
      <c r="B10">
        <v>8</v>
      </c>
      <c r="C10">
        <v>3</v>
      </c>
      <c r="D10">
        <v>14</v>
      </c>
      <c r="E10">
        <v>10.5</v>
      </c>
      <c r="F10">
        <v>21</v>
      </c>
      <c r="G10">
        <v>1.8</v>
      </c>
      <c r="H10">
        <v>0.3681518987341772</v>
      </c>
    </row>
    <row r="11" spans="1:8" x14ac:dyDescent="0.45">
      <c r="A11" t="s">
        <v>69</v>
      </c>
      <c r="B11">
        <v>0</v>
      </c>
      <c r="C11">
        <v>1</v>
      </c>
      <c r="D11">
        <v>2</v>
      </c>
      <c r="E11">
        <v>1.5</v>
      </c>
      <c r="F11">
        <v>3</v>
      </c>
      <c r="G11">
        <v>2</v>
      </c>
      <c r="H11">
        <v>0.35898734177215191</v>
      </c>
    </row>
    <row r="12" spans="1:8" x14ac:dyDescent="0.45">
      <c r="A12" t="s">
        <v>44</v>
      </c>
      <c r="B12">
        <v>2</v>
      </c>
      <c r="C12">
        <v>31</v>
      </c>
      <c r="D12">
        <v>64</v>
      </c>
      <c r="E12">
        <v>48</v>
      </c>
      <c r="F12">
        <v>96</v>
      </c>
      <c r="G12">
        <v>2.5</v>
      </c>
      <c r="H12">
        <v>1.5350379746835441</v>
      </c>
    </row>
    <row r="13" spans="1:8" x14ac:dyDescent="0.45">
      <c r="A13" t="s">
        <v>48</v>
      </c>
      <c r="B13">
        <v>3</v>
      </c>
      <c r="C13">
        <v>16</v>
      </c>
      <c r="D13">
        <v>35</v>
      </c>
      <c r="E13">
        <v>26.25</v>
      </c>
      <c r="F13">
        <v>52.5</v>
      </c>
      <c r="G13">
        <v>1.8</v>
      </c>
      <c r="H13">
        <v>0.39508860759493669</v>
      </c>
    </row>
    <row r="14" spans="1:8" x14ac:dyDescent="0.45">
      <c r="A14" t="s">
        <v>60</v>
      </c>
      <c r="B14">
        <v>4</v>
      </c>
      <c r="C14">
        <v>1</v>
      </c>
      <c r="D14">
        <v>6</v>
      </c>
      <c r="E14">
        <v>4.5</v>
      </c>
      <c r="F14">
        <v>9</v>
      </c>
      <c r="G14">
        <v>2</v>
      </c>
      <c r="H14">
        <v>0.35356962025316457</v>
      </c>
    </row>
    <row r="15" spans="1:8" x14ac:dyDescent="0.45">
      <c r="A15" t="s">
        <v>65</v>
      </c>
      <c r="B15">
        <v>3</v>
      </c>
      <c r="C15">
        <v>0</v>
      </c>
      <c r="D15">
        <v>3</v>
      </c>
      <c r="E15">
        <v>2.25</v>
      </c>
      <c r="F15">
        <v>4.5</v>
      </c>
      <c r="G15">
        <v>2</v>
      </c>
      <c r="H15">
        <v>0.35898734177215191</v>
      </c>
    </row>
    <row r="16" spans="1:8" x14ac:dyDescent="0.45">
      <c r="A16" t="s">
        <v>39</v>
      </c>
      <c r="B16">
        <v>5</v>
      </c>
      <c r="C16">
        <v>49</v>
      </c>
      <c r="D16">
        <v>103</v>
      </c>
      <c r="E16">
        <v>77.25</v>
      </c>
      <c r="F16">
        <v>154.5</v>
      </c>
      <c r="G16">
        <v>2.5</v>
      </c>
      <c r="H16">
        <v>0.35356962025316457</v>
      </c>
    </row>
    <row r="17" spans="1:8" x14ac:dyDescent="0.45">
      <c r="A17" t="s">
        <v>64</v>
      </c>
      <c r="B17">
        <v>3</v>
      </c>
      <c r="C17">
        <v>0</v>
      </c>
      <c r="D17">
        <v>3</v>
      </c>
      <c r="E17">
        <v>2.25</v>
      </c>
      <c r="F17">
        <v>4.5</v>
      </c>
      <c r="G17">
        <v>3.2</v>
      </c>
      <c r="H17">
        <v>0.39508860759493669</v>
      </c>
    </row>
    <row r="18" spans="1:8" x14ac:dyDescent="0.45">
      <c r="A18" t="s">
        <v>74</v>
      </c>
      <c r="B18">
        <v>1</v>
      </c>
      <c r="C18">
        <v>0</v>
      </c>
      <c r="D18">
        <v>1</v>
      </c>
      <c r="E18">
        <v>0.75</v>
      </c>
      <c r="F18">
        <v>1.5</v>
      </c>
      <c r="G18">
        <v>1.8</v>
      </c>
      <c r="H18">
        <v>0.39508860759493669</v>
      </c>
    </row>
    <row r="19" spans="1:8" x14ac:dyDescent="0.45">
      <c r="A19" t="s">
        <v>73</v>
      </c>
      <c r="B19">
        <v>1</v>
      </c>
      <c r="C19">
        <v>0</v>
      </c>
      <c r="D19">
        <v>1</v>
      </c>
      <c r="E19">
        <v>0.75</v>
      </c>
      <c r="F19">
        <v>1.5</v>
      </c>
      <c r="G19">
        <v>2.5</v>
      </c>
      <c r="H19">
        <v>0.39508860759493669</v>
      </c>
    </row>
    <row r="20" spans="1:8" x14ac:dyDescent="0.45">
      <c r="A20" t="s">
        <v>58</v>
      </c>
      <c r="B20">
        <v>2</v>
      </c>
      <c r="C20">
        <v>4</v>
      </c>
      <c r="D20">
        <v>10</v>
      </c>
      <c r="E20">
        <v>7.5</v>
      </c>
      <c r="F20">
        <v>15</v>
      </c>
      <c r="G20">
        <v>3</v>
      </c>
      <c r="H20">
        <v>1.6867594936708861</v>
      </c>
    </row>
    <row r="21" spans="1:8" x14ac:dyDescent="0.45">
      <c r="A21" t="s">
        <v>46</v>
      </c>
      <c r="B21">
        <v>3</v>
      </c>
      <c r="C21">
        <v>29</v>
      </c>
      <c r="D21">
        <v>61</v>
      </c>
      <c r="E21">
        <v>45.75</v>
      </c>
      <c r="F21">
        <v>91.5</v>
      </c>
      <c r="G21">
        <v>2.5</v>
      </c>
      <c r="H21">
        <v>0.41706329113924051</v>
      </c>
    </row>
    <row r="22" spans="1:8" x14ac:dyDescent="0.45">
      <c r="A22" t="s">
        <v>63</v>
      </c>
      <c r="B22">
        <v>3</v>
      </c>
      <c r="C22">
        <v>0</v>
      </c>
      <c r="D22">
        <v>3</v>
      </c>
      <c r="E22">
        <v>2.25</v>
      </c>
      <c r="F22">
        <v>4.5</v>
      </c>
      <c r="G22">
        <v>3</v>
      </c>
      <c r="H22">
        <v>1.6867594936708861</v>
      </c>
    </row>
    <row r="23" spans="1:8" x14ac:dyDescent="0.45">
      <c r="A23" t="s">
        <v>71</v>
      </c>
      <c r="B23">
        <v>1</v>
      </c>
      <c r="C23">
        <v>0</v>
      </c>
      <c r="D23">
        <v>1</v>
      </c>
      <c r="E23">
        <v>0.75</v>
      </c>
      <c r="F23">
        <v>1.5</v>
      </c>
      <c r="G23">
        <v>3</v>
      </c>
      <c r="H23">
        <v>1.6867594936708861</v>
      </c>
    </row>
    <row r="24" spans="1:8" x14ac:dyDescent="0.45">
      <c r="A24" t="s">
        <v>51</v>
      </c>
      <c r="B24">
        <v>4</v>
      </c>
      <c r="C24">
        <v>12</v>
      </c>
      <c r="D24">
        <v>28</v>
      </c>
      <c r="E24">
        <v>21</v>
      </c>
      <c r="F24">
        <v>42</v>
      </c>
      <c r="G24">
        <v>3</v>
      </c>
      <c r="H24">
        <v>1.6867594936708861</v>
      </c>
    </row>
    <row r="25" spans="1:8" x14ac:dyDescent="0.45">
      <c r="A25" t="s">
        <v>75</v>
      </c>
      <c r="B25">
        <v>1</v>
      </c>
      <c r="C25">
        <v>0</v>
      </c>
      <c r="D25">
        <v>1</v>
      </c>
      <c r="E25">
        <v>0.75</v>
      </c>
      <c r="F25">
        <v>1.5</v>
      </c>
      <c r="G25">
        <v>2</v>
      </c>
      <c r="H25">
        <v>0.3468101265822785</v>
      </c>
    </row>
    <row r="26" spans="1:8" x14ac:dyDescent="0.45">
      <c r="A26" t="s">
        <v>61</v>
      </c>
      <c r="B26">
        <v>2</v>
      </c>
      <c r="C26">
        <v>1</v>
      </c>
      <c r="D26">
        <v>4</v>
      </c>
      <c r="E26">
        <v>3</v>
      </c>
      <c r="F26">
        <v>6</v>
      </c>
      <c r="G26">
        <v>3</v>
      </c>
      <c r="H26">
        <v>0.3468101265822785</v>
      </c>
    </row>
    <row r="27" spans="1:8" x14ac:dyDescent="0.45">
      <c r="A27" t="s">
        <v>50</v>
      </c>
      <c r="B27">
        <v>1</v>
      </c>
      <c r="C27">
        <v>17</v>
      </c>
      <c r="D27">
        <v>35</v>
      </c>
      <c r="E27">
        <v>26.25</v>
      </c>
      <c r="F27">
        <v>52.5</v>
      </c>
      <c r="G27">
        <v>2</v>
      </c>
      <c r="H27">
        <v>0.3468101265822785</v>
      </c>
    </row>
    <row r="28" spans="1:8" x14ac:dyDescent="0.45">
      <c r="A28" t="s">
        <v>42</v>
      </c>
      <c r="B28">
        <v>5</v>
      </c>
      <c r="C28">
        <v>33</v>
      </c>
      <c r="D28">
        <v>71</v>
      </c>
      <c r="E28">
        <v>53.25</v>
      </c>
      <c r="F28">
        <v>106.5</v>
      </c>
      <c r="G28">
        <v>2</v>
      </c>
      <c r="H28">
        <v>0.3468101265822785</v>
      </c>
    </row>
    <row r="29" spans="1:8" x14ac:dyDescent="0.45">
      <c r="A29" t="s">
        <v>34</v>
      </c>
      <c r="B29">
        <v>11</v>
      </c>
      <c r="C29">
        <v>90</v>
      </c>
      <c r="D29">
        <v>191</v>
      </c>
      <c r="E29">
        <v>143.25</v>
      </c>
      <c r="F29">
        <v>286.5</v>
      </c>
      <c r="G29">
        <v>3</v>
      </c>
      <c r="H29">
        <v>0</v>
      </c>
    </row>
    <row r="30" spans="1:8" x14ac:dyDescent="0.45">
      <c r="A30" t="s">
        <v>70</v>
      </c>
      <c r="B30">
        <v>0</v>
      </c>
      <c r="C30">
        <v>1</v>
      </c>
      <c r="D30">
        <v>2</v>
      </c>
      <c r="E30">
        <v>1.5</v>
      </c>
      <c r="F30">
        <v>3</v>
      </c>
      <c r="G30">
        <v>2</v>
      </c>
      <c r="H30">
        <v>0.35356962025316457</v>
      </c>
    </row>
    <row r="31" spans="1:8" x14ac:dyDescent="0.45">
      <c r="A31" t="s">
        <v>67</v>
      </c>
      <c r="B31">
        <v>0</v>
      </c>
      <c r="C31">
        <v>1</v>
      </c>
      <c r="D31">
        <v>2</v>
      </c>
      <c r="E31">
        <v>1.5</v>
      </c>
      <c r="F31">
        <v>3</v>
      </c>
      <c r="G31">
        <v>2.5</v>
      </c>
      <c r="H31">
        <v>0.39508860759493669</v>
      </c>
    </row>
    <row r="32" spans="1:8" x14ac:dyDescent="0.45">
      <c r="A32" t="s">
        <v>37</v>
      </c>
      <c r="B32">
        <v>10</v>
      </c>
      <c r="C32">
        <v>58</v>
      </c>
      <c r="D32">
        <v>126</v>
      </c>
      <c r="E32">
        <v>94.5</v>
      </c>
      <c r="F32">
        <v>189</v>
      </c>
      <c r="G32">
        <v>3</v>
      </c>
      <c r="H32">
        <v>0.3468101265822785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100</v>
      </c>
      <c r="B1" s="1" t="s">
        <v>101</v>
      </c>
    </row>
    <row r="2" spans="1:2" x14ac:dyDescent="0.45">
      <c r="A2" t="s">
        <v>102</v>
      </c>
      <c r="B2">
        <v>39500</v>
      </c>
    </row>
    <row r="3" spans="1:2" x14ac:dyDescent="0.45">
      <c r="A3" t="s">
        <v>103</v>
      </c>
      <c r="B3">
        <v>0.03</v>
      </c>
    </row>
    <row r="4" spans="1:2" x14ac:dyDescent="0.45">
      <c r="A4" t="s">
        <v>104</v>
      </c>
      <c r="B4">
        <v>1.1000000000000001</v>
      </c>
    </row>
    <row r="5" spans="1:2" x14ac:dyDescent="0.45">
      <c r="A5" t="s">
        <v>105</v>
      </c>
      <c r="B5">
        <v>0.5</v>
      </c>
    </row>
    <row r="6" spans="1:2" x14ac:dyDescent="0.45">
      <c r="A6" t="s">
        <v>106</v>
      </c>
      <c r="B6">
        <v>1.1200000000000001</v>
      </c>
    </row>
    <row r="7" spans="1:2" x14ac:dyDescent="0.45">
      <c r="A7" t="s">
        <v>107</v>
      </c>
      <c r="B7">
        <v>0.1</v>
      </c>
    </row>
    <row r="8" spans="1:2" x14ac:dyDescent="0.45">
      <c r="A8" t="s">
        <v>108</v>
      </c>
      <c r="B8">
        <v>7</v>
      </c>
    </row>
    <row r="9" spans="1:2" x14ac:dyDescent="0.45">
      <c r="A9" t="s">
        <v>109</v>
      </c>
      <c r="B9">
        <v>0.75</v>
      </c>
    </row>
    <row r="10" spans="1:2" x14ac:dyDescent="0.45">
      <c r="A10" t="s">
        <v>110</v>
      </c>
      <c r="B10">
        <v>6</v>
      </c>
    </row>
    <row r="11" spans="1:2" x14ac:dyDescent="0.45">
      <c r="A11" t="s">
        <v>111</v>
      </c>
      <c r="B11">
        <v>4</v>
      </c>
    </row>
    <row r="12" spans="1:2" x14ac:dyDescent="0.45">
      <c r="A12" t="s">
        <v>112</v>
      </c>
      <c r="B12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Resumen_Total</vt:lpstr>
      <vt:lpstr>Costos_por_Ciudad</vt:lpstr>
      <vt:lpstr>Costos_por_Tecnico</vt:lpstr>
      <vt:lpstr>Plan_Diario</vt:lpstr>
      <vt:lpstr>Demanda_y_Materiales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2025-12-22T00:22:45Z</dcterms:created>
  <dcterms:modified xsi:type="dcterms:W3CDTF">2025-12-22T00:27:11Z</dcterms:modified>
</cp:coreProperties>
</file>