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9310" yWindow="2500" windowWidth="19420" windowHeight="10300" tabRatio="600" firstSheet="0" activeTab="0" autoFilterDateGrouping="1"/>
  </bookViews>
  <sheets>
    <sheet name="Gantt L-V" sheetId="1" state="visible" r:id="rId1"/>
  </sheets>
  <externalReferences>
    <externalReference r:id="rId2"/>
  </externalReferences>
  <definedNames>
    <definedName name="_xlnm._FilterDatabase" localSheetId="0" hidden="1">'Gantt L-V'!$E$7:$AM$42</definedName>
    <definedName name="_xlnm.Print_Area" localSheetId="0">'Gantt L-V'!$E$4:$AM$42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 tint="0.0499893185216834"/>
      <sz val="11"/>
      <scheme val="minor"/>
    </font>
    <font>
      <name val="Aptos Narrow"/>
      <family val="2"/>
      <sz val="8"/>
      <scheme val="minor"/>
    </font>
  </fonts>
  <fills count="1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FFEB9C"/>
        <bgColor rgb="00FFEB9C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EDEDED"/>
        <bgColor rgb="00EDEDED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textRotation="90"/>
    </xf>
    <xf numFmtId="0" fontId="2" fillId="0" borderId="1" applyAlignment="1" pivotButton="0" quotePrefix="0" xfId="0">
      <alignment horizontal="center" textRotation="90"/>
    </xf>
    <xf numFmtId="0" fontId="2" fillId="0" borderId="2" applyAlignment="1" pivotButton="0" quotePrefix="0" xfId="0">
      <alignment horizontal="center" textRotation="90"/>
    </xf>
    <xf numFmtId="0" fontId="2" fillId="0" borderId="3" applyAlignment="1" pivotButton="0" quotePrefix="0" xfId="0">
      <alignment horizontal="center" textRotation="90"/>
    </xf>
    <xf numFmtId="0" fontId="0" fillId="3" borderId="0" applyAlignment="1" pivotButton="0" quotePrefix="0" xfId="0">
      <alignment horizontal="center" textRotation="90"/>
    </xf>
    <xf numFmtId="0" fontId="2" fillId="0" borderId="5" applyAlignment="1" pivotButton="0" quotePrefix="0" xfId="0">
      <alignment horizontal="center" textRotation="90"/>
    </xf>
    <xf numFmtId="0" fontId="2" fillId="0" borderId="6" applyAlignment="1" pivotButton="0" quotePrefix="0" xfId="0">
      <alignment horizontal="center" textRotation="90"/>
    </xf>
    <xf numFmtId="16" fontId="2" fillId="0" borderId="7" applyAlignment="1" pivotButton="0" quotePrefix="0" xfId="0">
      <alignment horizontal="center" textRotation="90"/>
    </xf>
    <xf numFmtId="0" fontId="0" fillId="3" borderId="0" applyAlignment="1" pivotButton="0" quotePrefix="0" xfId="0">
      <alignment horizontal="center"/>
    </xf>
    <xf numFmtId="16" fontId="0" fillId="0" borderId="0" pivotButton="0" quotePrefix="0" xfId="0"/>
    <xf numFmtId="0" fontId="1" fillId="0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1" fillId="5" borderId="7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3" fillId="3" borderId="7" applyAlignment="1" pivotButton="0" quotePrefix="0" xfId="0">
      <alignment horizontal="center"/>
    </xf>
    <xf numFmtId="0" fontId="2" fillId="3" borderId="3" applyAlignment="1" pivotButton="0" quotePrefix="0" xfId="0">
      <alignment horizontal="center" textRotation="90"/>
    </xf>
    <xf numFmtId="0" fontId="2" fillId="3" borderId="4" applyAlignment="1" pivotButton="0" quotePrefix="0" xfId="0">
      <alignment horizontal="center" textRotation="90"/>
    </xf>
    <xf numFmtId="0" fontId="2" fillId="6" borderId="3" applyAlignment="1" pivotButton="0" quotePrefix="0" xfId="0">
      <alignment horizontal="center" textRotation="90"/>
    </xf>
    <xf numFmtId="1" fontId="0" fillId="0" borderId="0" pivotButton="0" quotePrefix="0" xfId="0"/>
    <xf numFmtId="0" fontId="0" fillId="3" borderId="7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0" fillId="0" borderId="11" pivotButton="0" quotePrefix="0" xfId="0"/>
    <xf numFmtId="0" fontId="0" fillId="7" borderId="11" pivotButton="0" quotePrefix="0" xfId="0"/>
    <xf numFmtId="0" fontId="0" fillId="7" borderId="11" applyAlignment="1" pivotButton="0" quotePrefix="0" xfId="0">
      <alignment horizontal="center"/>
    </xf>
    <xf numFmtId="0" fontId="0" fillId="8" borderId="11" pivotButton="0" quotePrefix="0" xfId="0"/>
    <xf numFmtId="0" fontId="0" fillId="8" borderId="11" applyAlignment="1" pivotButton="0" quotePrefix="0" xfId="0">
      <alignment horizontal="center"/>
    </xf>
    <xf numFmtId="0" fontId="0" fillId="9" borderId="11" pivotButton="0" quotePrefix="0" xfId="0"/>
    <xf numFmtId="0" fontId="0" fillId="9" borderId="11" applyAlignment="1" pivotButton="0" quotePrefix="0" xfId="0">
      <alignment horizontal="center"/>
    </xf>
    <xf numFmtId="0" fontId="0" fillId="10" borderId="11" pivotButton="0" quotePrefix="0" xfId="0"/>
    <xf numFmtId="0" fontId="0" fillId="10" borderId="11" applyAlignment="1" pivotButton="0" quotePrefix="0" xfId="0">
      <alignment horizontal="center"/>
    </xf>
    <xf numFmtId="0" fontId="0" fillId="11" borderId="11" pivotButton="0" quotePrefix="0" xfId="0"/>
    <xf numFmtId="0" fontId="0" fillId="11" borderId="11" applyAlignment="1" pivotButton="0" quotePrefix="0" xfId="0">
      <alignment horizontal="center"/>
    </xf>
    <xf numFmtId="0" fontId="0" fillId="12" borderId="11" pivotButton="0" quotePrefix="0" xfId="0"/>
    <xf numFmtId="0" fontId="0" fillId="12" borderId="11" applyAlignment="1" pivotButton="0" quotePrefix="0" xfId="0">
      <alignment horizontal="center"/>
    </xf>
    <xf numFmtId="0" fontId="0" fillId="13" borderId="11" pivotButton="0" quotePrefix="0" xfId="0"/>
    <xf numFmtId="0" fontId="0" fillId="13" borderId="11" applyAlignment="1" pivotButton="0" quotePrefix="0" xfId="0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fd171dda8de17894/Desktop/cerebro-patio/Cerebro/resultado_optimizacion_gps_v6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sumen_Total"/>
      <sheetName val="Costos_por_Ciudad"/>
      <sheetName val="Costos_por_Tecnico"/>
      <sheetName val="Plan_Diario"/>
      <sheetName val="base_gantt"/>
      <sheetName val="Hoja1"/>
      <sheetName val="Demanda_y_Materiales"/>
      <sheetName val="Paramet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">
          <cell r="A1" t="str">
            <v>ciudad</v>
          </cell>
          <cell r="B1" t="str">
            <v>vehiculos_1gps</v>
          </cell>
          <cell r="C1" t="str">
            <v>vehiculos_2gps</v>
          </cell>
          <cell r="D1" t="str">
            <v>gps_total</v>
          </cell>
        </row>
        <row r="2">
          <cell r="A2" t="str">
            <v>Antofagasta</v>
          </cell>
          <cell r="B2">
            <v>0</v>
          </cell>
          <cell r="C2">
            <v>11</v>
          </cell>
          <cell r="D2">
            <v>22</v>
          </cell>
        </row>
        <row r="3">
          <cell r="A3" t="str">
            <v>Arica</v>
          </cell>
          <cell r="B3">
            <v>0</v>
          </cell>
          <cell r="C3">
            <v>6</v>
          </cell>
          <cell r="D3">
            <v>12</v>
          </cell>
        </row>
        <row r="4">
          <cell r="A4" t="str">
            <v>Calama</v>
          </cell>
          <cell r="B4">
            <v>0</v>
          </cell>
          <cell r="C4">
            <v>2</v>
          </cell>
          <cell r="D4">
            <v>4</v>
          </cell>
        </row>
        <row r="5">
          <cell r="A5" t="str">
            <v>Caldera</v>
          </cell>
          <cell r="B5">
            <v>0</v>
          </cell>
          <cell r="C5">
            <v>11</v>
          </cell>
          <cell r="D5">
            <v>22</v>
          </cell>
        </row>
        <row r="6">
          <cell r="A6" t="str">
            <v>Castro</v>
          </cell>
          <cell r="B6">
            <v>2</v>
          </cell>
          <cell r="C6">
            <v>0</v>
          </cell>
          <cell r="D6">
            <v>2</v>
          </cell>
        </row>
        <row r="7">
          <cell r="A7" t="str">
            <v>Chillán</v>
          </cell>
          <cell r="B7">
            <v>2</v>
          </cell>
          <cell r="C7">
            <v>0</v>
          </cell>
          <cell r="D7">
            <v>2</v>
          </cell>
        </row>
        <row r="8">
          <cell r="A8" t="str">
            <v>Concepción</v>
          </cell>
          <cell r="B8">
            <v>5</v>
          </cell>
          <cell r="C8">
            <v>2</v>
          </cell>
          <cell r="D8">
            <v>9</v>
          </cell>
        </row>
        <row r="9">
          <cell r="A9" t="str">
            <v>Copiapó</v>
          </cell>
          <cell r="B9">
            <v>2</v>
          </cell>
          <cell r="C9">
            <v>0</v>
          </cell>
          <cell r="D9">
            <v>2</v>
          </cell>
        </row>
        <row r="10">
          <cell r="A10" t="str">
            <v>Coquimbo</v>
          </cell>
          <cell r="B10">
            <v>8</v>
          </cell>
          <cell r="C10">
            <v>3</v>
          </cell>
          <cell r="D10">
            <v>14</v>
          </cell>
        </row>
        <row r="11">
          <cell r="A11" t="str">
            <v>Coronel</v>
          </cell>
          <cell r="B11">
            <v>0</v>
          </cell>
          <cell r="C11">
            <v>1</v>
          </cell>
          <cell r="D11">
            <v>2</v>
          </cell>
        </row>
        <row r="12">
          <cell r="A12" t="str">
            <v>Iquique</v>
          </cell>
          <cell r="B12">
            <v>2</v>
          </cell>
          <cell r="C12">
            <v>31</v>
          </cell>
          <cell r="D12">
            <v>64</v>
          </cell>
        </row>
        <row r="13">
          <cell r="A13" t="str">
            <v>Lautaro</v>
          </cell>
          <cell r="B13">
            <v>3</v>
          </cell>
          <cell r="C13">
            <v>16</v>
          </cell>
          <cell r="D13">
            <v>35</v>
          </cell>
        </row>
        <row r="14">
          <cell r="A14" t="str">
            <v>Linares</v>
          </cell>
          <cell r="B14">
            <v>4</v>
          </cell>
          <cell r="C14">
            <v>1</v>
          </cell>
          <cell r="D14">
            <v>6</v>
          </cell>
        </row>
        <row r="15">
          <cell r="A15" t="str">
            <v>Los Ángeles</v>
          </cell>
          <cell r="B15">
            <v>3</v>
          </cell>
          <cell r="C15">
            <v>0</v>
          </cell>
          <cell r="D15">
            <v>3</v>
          </cell>
        </row>
        <row r="16">
          <cell r="A16" t="str">
            <v>Mejillones</v>
          </cell>
          <cell r="B16">
            <v>5</v>
          </cell>
          <cell r="C16">
            <v>49</v>
          </cell>
          <cell r="D16">
            <v>103</v>
          </cell>
        </row>
        <row r="17">
          <cell r="A17" t="str">
            <v>Osorno</v>
          </cell>
          <cell r="B17">
            <v>3</v>
          </cell>
          <cell r="C17">
            <v>0</v>
          </cell>
          <cell r="D17">
            <v>3</v>
          </cell>
        </row>
        <row r="18">
          <cell r="A18" t="str">
            <v>Ovalle</v>
          </cell>
          <cell r="B18">
            <v>1</v>
          </cell>
          <cell r="C18">
            <v>0</v>
          </cell>
          <cell r="D18">
            <v>1</v>
          </cell>
        </row>
        <row r="19">
          <cell r="A19" t="str">
            <v>Pichirropulli</v>
          </cell>
          <cell r="B19">
            <v>1</v>
          </cell>
          <cell r="C19">
            <v>0</v>
          </cell>
          <cell r="D19">
            <v>1</v>
          </cell>
        </row>
        <row r="20">
          <cell r="A20" t="str">
            <v>Puerto Aysen</v>
          </cell>
          <cell r="B20">
            <v>2</v>
          </cell>
          <cell r="C20">
            <v>4</v>
          </cell>
          <cell r="D20">
            <v>10</v>
          </cell>
        </row>
        <row r="21">
          <cell r="A21" t="str">
            <v>Puerto Montt</v>
          </cell>
          <cell r="B21">
            <v>3</v>
          </cell>
          <cell r="C21">
            <v>29</v>
          </cell>
          <cell r="D21">
            <v>61</v>
          </cell>
        </row>
        <row r="22">
          <cell r="A22" t="str">
            <v>Puerto Natales</v>
          </cell>
          <cell r="B22">
            <v>3</v>
          </cell>
          <cell r="C22">
            <v>0</v>
          </cell>
          <cell r="D22">
            <v>3</v>
          </cell>
        </row>
        <row r="23">
          <cell r="A23" t="str">
            <v>Puerto Williams</v>
          </cell>
          <cell r="B23">
            <v>1</v>
          </cell>
          <cell r="C23">
            <v>0</v>
          </cell>
          <cell r="D23">
            <v>1</v>
          </cell>
        </row>
        <row r="24">
          <cell r="A24" t="str">
            <v>Punta Arenas</v>
          </cell>
          <cell r="B24">
            <v>4</v>
          </cell>
          <cell r="C24">
            <v>12</v>
          </cell>
          <cell r="D24">
            <v>28</v>
          </cell>
        </row>
        <row r="25">
          <cell r="A25" t="str">
            <v>Romeral</v>
          </cell>
          <cell r="B25">
            <v>1</v>
          </cell>
          <cell r="C25">
            <v>0</v>
          </cell>
          <cell r="D25">
            <v>1</v>
          </cell>
        </row>
        <row r="26">
          <cell r="A26" t="str">
            <v>San Antonio</v>
          </cell>
          <cell r="B26">
            <v>2</v>
          </cell>
          <cell r="C26">
            <v>1</v>
          </cell>
          <cell r="D26">
            <v>4</v>
          </cell>
        </row>
        <row r="27">
          <cell r="A27" t="str">
            <v>San Fernando</v>
          </cell>
          <cell r="B27">
            <v>1</v>
          </cell>
          <cell r="C27">
            <v>17</v>
          </cell>
          <cell r="D27">
            <v>35</v>
          </cell>
        </row>
        <row r="28">
          <cell r="A28" t="str">
            <v>San Vicente</v>
          </cell>
          <cell r="B28">
            <v>5</v>
          </cell>
          <cell r="C28">
            <v>33</v>
          </cell>
          <cell r="D28">
            <v>71</v>
          </cell>
        </row>
        <row r="29">
          <cell r="A29" t="str">
            <v>Santiago</v>
          </cell>
          <cell r="B29">
            <v>11</v>
          </cell>
          <cell r="C29">
            <v>90</v>
          </cell>
          <cell r="D29">
            <v>191</v>
          </cell>
        </row>
        <row r="30">
          <cell r="A30" t="str">
            <v>Talca</v>
          </cell>
          <cell r="B30">
            <v>0</v>
          </cell>
          <cell r="C30">
            <v>1</v>
          </cell>
          <cell r="D30">
            <v>2</v>
          </cell>
        </row>
        <row r="31">
          <cell r="A31" t="str">
            <v>Valdivia</v>
          </cell>
          <cell r="B31">
            <v>0</v>
          </cell>
          <cell r="C31">
            <v>1</v>
          </cell>
          <cell r="D31">
            <v>2</v>
          </cell>
        </row>
        <row r="32">
          <cell r="A32" t="str">
            <v>Valparaiso</v>
          </cell>
          <cell r="B32">
            <v>10</v>
          </cell>
          <cell r="C32">
            <v>58</v>
          </cell>
          <cell r="D32">
            <v>126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fitToPage="1"/>
  </sheetPr>
  <dimension ref="D4:AM35"/>
  <sheetViews>
    <sheetView showGridLines="0" tabSelected="1" topLeftCell="A4" zoomScale="70" zoomScaleNormal="70" workbookViewId="0">
      <selection activeCell="D33" sqref="D33"/>
    </sheetView>
  </sheetViews>
  <sheetFormatPr baseColWidth="10" defaultRowHeight="14.25"/>
  <cols>
    <col width="6.59765625" customWidth="1" min="1" max="1"/>
    <col width="2.59765625" customWidth="1" min="2" max="2"/>
    <col width="7.59765625" customWidth="1" min="3" max="3"/>
    <col width="7.3984375" customWidth="1" min="4" max="4"/>
    <col width="19" bestFit="1" customWidth="1" min="5" max="5"/>
    <col width="7.59765625" customWidth="1" min="6" max="6"/>
    <col width="13.33203125" bestFit="1" customWidth="1" min="7" max="7"/>
    <col width="4" bestFit="1" customWidth="1" min="8" max="8"/>
    <col width="3.1328125" customWidth="1" min="9" max="23"/>
    <col width="4.3984375" customWidth="1" min="24" max="24"/>
    <col width="3.1328125" customWidth="1" min="25" max="30"/>
    <col width="5" customWidth="1" min="31" max="31"/>
    <col width="3.1328125" customWidth="1" min="32" max="38"/>
    <col width="6.59765625" bestFit="1" customWidth="1" min="39" max="39"/>
  </cols>
  <sheetData>
    <row r="3" ht="14.65" customHeight="1" thickBot="1"/>
    <row r="4" ht="53.25" customFormat="1" customHeight="1" s="1">
      <c r="E4" s="2" t="inlineStr">
        <is>
          <t>Dia semana</t>
        </is>
      </c>
      <c r="F4" s="3" t="n"/>
      <c r="G4" s="3" t="n"/>
      <c r="H4" s="4">
        <f>TEXT(H5,"dddd")</f>
        <v/>
      </c>
      <c r="I4" s="4">
        <f>TEXT(I5,"dddd")</f>
        <v/>
      </c>
      <c r="J4" s="23">
        <f>TEXT(J5,"dddd")</f>
        <v/>
      </c>
      <c r="K4" s="23">
        <f>TEXT(K5,"dddd")</f>
        <v/>
      </c>
      <c r="L4" s="23">
        <f>TEXT(L5,"dddd")</f>
        <v/>
      </c>
      <c r="M4" s="25">
        <f>TEXT(M5,"dddd")</f>
        <v/>
      </c>
      <c r="N4" s="25">
        <f>TEXT(N5,"dddd")</f>
        <v/>
      </c>
      <c r="O4" s="23">
        <f>TEXT(O5,"dddd")</f>
        <v/>
      </c>
      <c r="P4" s="23">
        <f>TEXT(P5,"dddd")</f>
        <v/>
      </c>
      <c r="Q4" s="23">
        <f>TEXT(Q5,"dddd")</f>
        <v/>
      </c>
      <c r="R4" s="23">
        <f>TEXT(R5,"dddd")</f>
        <v/>
      </c>
      <c r="S4" s="23">
        <f>TEXT(S5,"dddd")</f>
        <v/>
      </c>
      <c r="T4" s="25">
        <f>TEXT(T5,"dddd")</f>
        <v/>
      </c>
      <c r="U4" s="25">
        <f>TEXT(U5,"dddd")</f>
        <v/>
      </c>
      <c r="V4" s="23">
        <f>TEXT(V5,"dddd")</f>
        <v/>
      </c>
      <c r="W4" s="23">
        <f>TEXT(W5,"dddd")</f>
        <v/>
      </c>
      <c r="X4" s="23">
        <f>TEXT(X5,"dddd")</f>
        <v/>
      </c>
      <c r="Y4" s="23">
        <f>TEXT(Y5,"dddd")</f>
        <v/>
      </c>
      <c r="Z4" s="23">
        <f>TEXT(Z5,"dddd")</f>
        <v/>
      </c>
      <c r="AA4" s="25">
        <f>TEXT(AA5,"dddd")</f>
        <v/>
      </c>
      <c r="AB4" s="25">
        <f>TEXT(AB5,"dddd")</f>
        <v/>
      </c>
      <c r="AC4" s="23">
        <f>TEXT(AC5,"dddd")</f>
        <v/>
      </c>
      <c r="AD4" s="23">
        <f>TEXT(AD5,"dddd")</f>
        <v/>
      </c>
      <c r="AE4" s="23">
        <f>TEXT(AE5,"dddd")</f>
        <v/>
      </c>
      <c r="AF4" s="23">
        <f>TEXT(AF5,"dddd")</f>
        <v/>
      </c>
      <c r="AG4" s="23">
        <f>TEXT(AG5,"dddd")</f>
        <v/>
      </c>
      <c r="AH4" s="25">
        <f>TEXT(AH5,"dddd")</f>
        <v/>
      </c>
      <c r="AI4" s="25">
        <f>TEXT(AI5,"dddd")</f>
        <v/>
      </c>
      <c r="AJ4" s="23">
        <f>TEXT(AJ5,"dddd")</f>
        <v/>
      </c>
      <c r="AK4" s="23">
        <f>TEXT(AK5,"dddd")</f>
        <v/>
      </c>
      <c r="AL4" s="24">
        <f>TEXT(AL5,"dddd")</f>
        <v/>
      </c>
      <c r="AM4" s="5" t="n"/>
    </row>
    <row r="5" ht="36.75" customFormat="1" customHeight="1" s="1">
      <c r="D5" s="29" t="inlineStr">
        <is>
          <t>Antofagasta</t>
        </is>
      </c>
      <c r="E5" s="29" t="n">
        <v>11</v>
      </c>
      <c r="F5" s="30" t="inlineStr">
        <is>
          <t>Orlando</t>
        </is>
      </c>
      <c r="H5" s="31" t="n">
        <v>6</v>
      </c>
      <c r="I5" s="31" t="n">
        <v>5</v>
      </c>
    </row>
    <row r="6">
      <c r="D6" s="29" t="inlineStr">
        <is>
          <t>Arica</t>
        </is>
      </c>
      <c r="E6" s="29" t="n">
        <v>6</v>
      </c>
      <c r="F6" s="32" t="inlineStr">
        <is>
          <t>EXTERNAL</t>
        </is>
      </c>
      <c r="G6" s="33" t="n">
        <v>6</v>
      </c>
    </row>
    <row r="7">
      <c r="D7" s="29" t="inlineStr">
        <is>
          <t>Calama</t>
        </is>
      </c>
      <c r="E7" s="29" t="n">
        <v>2</v>
      </c>
      <c r="F7" s="30" t="inlineStr">
        <is>
          <t>Orlando</t>
        </is>
      </c>
      <c r="G7" s="31" t="n">
        <v>2</v>
      </c>
    </row>
    <row r="8">
      <c r="D8" s="29" t="inlineStr">
        <is>
          <t>Caldera</t>
        </is>
      </c>
      <c r="E8" s="29" t="n">
        <v>11</v>
      </c>
      <c r="F8" s="34" t="inlineStr">
        <is>
          <t>Pedro (Norte)</t>
        </is>
      </c>
      <c r="Q8" s="35" t="n">
        <v>6</v>
      </c>
      <c r="R8" s="35" t="n">
        <v>5</v>
      </c>
    </row>
    <row r="9">
      <c r="D9" s="29" t="inlineStr">
        <is>
          <t>Castro</t>
        </is>
      </c>
      <c r="E9" s="29" t="n">
        <v>2</v>
      </c>
      <c r="F9" s="32" t="inlineStr">
        <is>
          <t>EXTERNAL</t>
        </is>
      </c>
      <c r="H9" s="33" t="n">
        <v>2</v>
      </c>
    </row>
    <row r="10">
      <c r="D10" s="29" t="inlineStr">
        <is>
          <t>Chillán</t>
        </is>
      </c>
      <c r="E10" s="29" t="n">
        <v>2</v>
      </c>
      <c r="F10" s="36" t="inlineStr">
        <is>
          <t>Jimmy</t>
        </is>
      </c>
      <c r="G10" s="37" t="n">
        <v>2</v>
      </c>
    </row>
    <row r="11">
      <c r="D11" s="29" t="inlineStr">
        <is>
          <t>Concepción</t>
        </is>
      </c>
      <c r="E11" s="29" t="n">
        <v>7</v>
      </c>
      <c r="F11" s="36" t="inlineStr">
        <is>
          <t>Jimmy</t>
        </is>
      </c>
      <c r="H11" s="37" t="n">
        <v>7</v>
      </c>
    </row>
    <row r="12">
      <c r="D12" s="29" t="inlineStr">
        <is>
          <t>Copiapó</t>
        </is>
      </c>
      <c r="E12" s="29" t="n">
        <v>2</v>
      </c>
      <c r="F12" s="30" t="inlineStr">
        <is>
          <t>Orlando</t>
        </is>
      </c>
      <c r="J12" s="31" t="n">
        <v>2</v>
      </c>
    </row>
    <row r="13">
      <c r="D13" s="29" t="inlineStr">
        <is>
          <t>Coquimbo</t>
        </is>
      </c>
      <c r="E13" s="29" t="n">
        <v>11</v>
      </c>
      <c r="F13" s="34" t="inlineStr">
        <is>
          <t>Pedro (Norte)</t>
        </is>
      </c>
      <c r="S13" s="35" t="n">
        <v>11</v>
      </c>
    </row>
    <row r="14">
      <c r="D14" s="29" t="inlineStr">
        <is>
          <t>Coronel</t>
        </is>
      </c>
      <c r="E14" s="29" t="n">
        <v>1</v>
      </c>
      <c r="F14" s="36" t="inlineStr">
        <is>
          <t>Jimmy</t>
        </is>
      </c>
      <c r="I14" s="37" t="n">
        <v>1</v>
      </c>
    </row>
    <row r="15">
      <c r="D15" s="29" t="inlineStr">
        <is>
          <t>Iquique</t>
        </is>
      </c>
      <c r="E15" s="29" t="n">
        <v>33</v>
      </c>
      <c r="F15" s="34" t="inlineStr">
        <is>
          <t>Pedro (Norte)</t>
        </is>
      </c>
      <c r="M15" s="35" t="n">
        <v>9</v>
      </c>
      <c r="N15" s="35" t="n">
        <v>8</v>
      </c>
      <c r="O15" s="35" t="n">
        <v>8</v>
      </c>
      <c r="P15" s="35" t="n">
        <v>8</v>
      </c>
    </row>
    <row r="16">
      <c r="D16" s="29" t="inlineStr">
        <is>
          <t>Lautaro</t>
        </is>
      </c>
      <c r="E16" s="29" t="n">
        <v>19</v>
      </c>
      <c r="F16" s="36" t="inlineStr">
        <is>
          <t>Jimmy</t>
        </is>
      </c>
      <c r="K16" s="37" t="n">
        <v>10</v>
      </c>
      <c r="L16" s="37" t="n">
        <v>9</v>
      </c>
    </row>
    <row r="17">
      <c r="D17" s="29" t="inlineStr">
        <is>
          <t>Linares</t>
        </is>
      </c>
      <c r="E17" s="29" t="n">
        <v>5</v>
      </c>
      <c r="F17" s="36" t="inlineStr">
        <is>
          <t>Jimmy</t>
        </is>
      </c>
      <c r="O17" s="37" t="n">
        <v>5</v>
      </c>
    </row>
    <row r="18">
      <c r="D18" s="29" t="inlineStr">
        <is>
          <t>Los Ángeles</t>
        </is>
      </c>
      <c r="E18" s="29" t="n">
        <v>3</v>
      </c>
      <c r="F18" s="36" t="inlineStr">
        <is>
          <t>Jimmy</t>
        </is>
      </c>
      <c r="J18" s="37" t="n">
        <v>3</v>
      </c>
    </row>
    <row r="19">
      <c r="D19" s="29" t="inlineStr">
        <is>
          <t>Mejillones</t>
        </is>
      </c>
      <c r="E19" s="29" t="n">
        <v>54</v>
      </c>
      <c r="F19" s="34" t="inlineStr">
        <is>
          <t>Pedro (Norte)</t>
        </is>
      </c>
      <c r="G19" s="35" t="n">
        <v>9</v>
      </c>
      <c r="H19" s="35" t="n">
        <v>9</v>
      </c>
      <c r="I19" s="35" t="n">
        <v>9</v>
      </c>
      <c r="J19" s="35" t="n">
        <v>9</v>
      </c>
      <c r="K19" s="35" t="n">
        <v>9</v>
      </c>
      <c r="L19" s="35" t="n">
        <v>9</v>
      </c>
    </row>
    <row r="20">
      <c r="D20" s="29" t="inlineStr">
        <is>
          <t>Osorno</t>
        </is>
      </c>
      <c r="E20" s="29" t="n">
        <v>3</v>
      </c>
      <c r="F20" s="32" t="inlineStr">
        <is>
          <t>EXTERNAL</t>
        </is>
      </c>
      <c r="I20" s="33" t="n">
        <v>3</v>
      </c>
    </row>
    <row r="21">
      <c r="D21" s="29" t="inlineStr">
        <is>
          <t>Ovalle</t>
        </is>
      </c>
      <c r="E21" s="29" t="n">
        <v>1</v>
      </c>
      <c r="F21" s="30" t="inlineStr">
        <is>
          <t>Orlando</t>
        </is>
      </c>
      <c r="K21" s="31" t="n">
        <v>1</v>
      </c>
    </row>
    <row r="22">
      <c r="D22" s="29" t="inlineStr">
        <is>
          <t>Pichirropulli</t>
        </is>
      </c>
      <c r="E22" s="29" t="n">
        <v>1</v>
      </c>
      <c r="F22" s="36" t="inlineStr">
        <is>
          <t>Jimmy</t>
        </is>
      </c>
      <c r="N22" s="37" t="n">
        <v>1</v>
      </c>
    </row>
    <row r="23">
      <c r="D23" s="29" t="inlineStr">
        <is>
          <t>Puerto Aysen</t>
        </is>
      </c>
      <c r="E23" s="29" t="n">
        <v>6</v>
      </c>
      <c r="F23" s="32" t="inlineStr">
        <is>
          <t>EXTERNAL</t>
        </is>
      </c>
      <c r="J23" s="33" t="n">
        <v>6</v>
      </c>
    </row>
    <row r="24">
      <c r="D24" s="29" t="inlineStr">
        <is>
          <t>Puerto Montt</t>
        </is>
      </c>
      <c r="E24" s="29" t="n">
        <v>32</v>
      </c>
      <c r="F24" s="32" t="inlineStr">
        <is>
          <t>EXTERNAL</t>
        </is>
      </c>
      <c r="K24" s="33" t="n">
        <v>8</v>
      </c>
      <c r="L24" s="33" t="n">
        <v>8</v>
      </c>
      <c r="M24" s="33" t="n">
        <v>8</v>
      </c>
      <c r="N24" s="33" t="n">
        <v>8</v>
      </c>
    </row>
    <row r="25">
      <c r="D25" s="29" t="inlineStr">
        <is>
          <t>Puerto Natales</t>
        </is>
      </c>
      <c r="E25" s="29" t="n">
        <v>3</v>
      </c>
      <c r="F25" s="32" t="inlineStr">
        <is>
          <t>EXTERNAL</t>
        </is>
      </c>
      <c r="O25" s="33" t="n">
        <v>3</v>
      </c>
    </row>
    <row r="26">
      <c r="D26" s="29" t="inlineStr">
        <is>
          <t>Puerto Williams</t>
        </is>
      </c>
      <c r="E26" s="29" t="n">
        <v>1</v>
      </c>
      <c r="F26" s="32" t="inlineStr">
        <is>
          <t>EXTERNAL</t>
        </is>
      </c>
      <c r="P26" s="33" t="n">
        <v>1</v>
      </c>
    </row>
    <row r="27">
      <c r="D27" s="29" t="inlineStr">
        <is>
          <t>Punta Arenas</t>
        </is>
      </c>
      <c r="E27" s="29" t="n">
        <v>16</v>
      </c>
      <c r="F27" s="32" t="inlineStr">
        <is>
          <t>EXTERNAL</t>
        </is>
      </c>
      <c r="Q27" s="33" t="n">
        <v>8</v>
      </c>
      <c r="R27" s="33" t="n">
        <v>8</v>
      </c>
    </row>
    <row r="28">
      <c r="D28" s="29" t="inlineStr">
        <is>
          <t>Romeral</t>
        </is>
      </c>
      <c r="E28" s="29" t="n">
        <v>1</v>
      </c>
      <c r="F28" s="38" t="inlineStr">
        <is>
          <t>Carlos (Sur)</t>
        </is>
      </c>
      <c r="N28" s="39" t="n">
        <v>1</v>
      </c>
    </row>
    <row r="29">
      <c r="D29" s="29" t="inlineStr">
        <is>
          <t>San Antonio</t>
        </is>
      </c>
      <c r="E29" s="29" t="n">
        <v>3</v>
      </c>
      <c r="F29" s="40" t="inlineStr">
        <is>
          <t>Wilmer</t>
        </is>
      </c>
      <c r="G29" s="41" t="n">
        <v>3</v>
      </c>
    </row>
    <row r="30">
      <c r="D30" s="29" t="inlineStr">
        <is>
          <t>San Fernando</t>
        </is>
      </c>
      <c r="E30" s="29" t="n">
        <v>18</v>
      </c>
      <c r="F30" s="40" t="inlineStr">
        <is>
          <t>Wilmer</t>
        </is>
      </c>
      <c r="H30" s="41" t="n">
        <v>9</v>
      </c>
      <c r="I30" s="41" t="n">
        <v>9</v>
      </c>
    </row>
    <row r="31">
      <c r="D31" s="29" t="inlineStr">
        <is>
          <t>San Vicente</t>
        </is>
      </c>
      <c r="E31" s="29" t="n">
        <v>38</v>
      </c>
      <c r="F31" s="42" t="inlineStr">
        <is>
          <t>Luis</t>
        </is>
      </c>
      <c r="R31" s="43" t="n">
        <v>10</v>
      </c>
      <c r="S31" s="43" t="n">
        <v>10</v>
      </c>
      <c r="T31" s="43" t="n">
        <v>9</v>
      </c>
      <c r="U31" s="43" t="n">
        <v>9</v>
      </c>
    </row>
    <row r="32">
      <c r="D32" s="29" t="inlineStr">
        <is>
          <t>Santiago</t>
        </is>
      </c>
      <c r="E32" s="29" t="n">
        <v>101</v>
      </c>
      <c r="F32" s="42" t="inlineStr">
        <is>
          <t>Luis</t>
        </is>
      </c>
      <c r="G32" s="43" t="n">
        <v>10</v>
      </c>
      <c r="H32" s="43" t="n">
        <v>10</v>
      </c>
      <c r="I32" s="43" t="n">
        <v>9</v>
      </c>
      <c r="J32" s="43" t="n">
        <v>9</v>
      </c>
      <c r="K32" s="43" t="n">
        <v>9</v>
      </c>
      <c r="L32" s="43" t="n">
        <v>9</v>
      </c>
      <c r="M32" s="43" t="n">
        <v>9</v>
      </c>
      <c r="N32" s="43" t="n">
        <v>9</v>
      </c>
      <c r="O32" s="43" t="n">
        <v>9</v>
      </c>
      <c r="P32" s="43" t="n">
        <v>9</v>
      </c>
      <c r="Q32" s="43" t="n">
        <v>9</v>
      </c>
    </row>
    <row r="33">
      <c r="D33" s="29" t="inlineStr">
        <is>
          <t>Talca</t>
        </is>
      </c>
      <c r="E33" s="29" t="n">
        <v>1</v>
      </c>
      <c r="F33" s="36" t="inlineStr">
        <is>
          <t>Jimmy</t>
        </is>
      </c>
      <c r="P33" s="37" t="n">
        <v>1</v>
      </c>
    </row>
    <row r="34">
      <c r="D34" s="29" t="inlineStr">
        <is>
          <t>Valdivia</t>
        </is>
      </c>
      <c r="E34" s="29" t="n">
        <v>1</v>
      </c>
      <c r="F34" s="36" t="inlineStr">
        <is>
          <t>Jimmy</t>
        </is>
      </c>
      <c r="M34" s="37" t="n">
        <v>1</v>
      </c>
    </row>
    <row r="35" hidden="1">
      <c r="D35" s="29" t="inlineStr">
        <is>
          <t>Valparaiso</t>
        </is>
      </c>
      <c r="E35" s="29" t="n">
        <v>68</v>
      </c>
      <c r="F35" s="38" t="inlineStr">
        <is>
          <t>Carlos (Sur)</t>
        </is>
      </c>
      <c r="G35" s="39" t="n">
        <v>10</v>
      </c>
      <c r="H35" s="39" t="n">
        <v>10</v>
      </c>
      <c r="I35" s="39" t="n">
        <v>10</v>
      </c>
      <c r="J35" s="39" t="n">
        <v>10</v>
      </c>
      <c r="K35" s="39" t="n">
        <v>10</v>
      </c>
      <c r="L35" s="39" t="n">
        <v>9</v>
      </c>
      <c r="M35" s="39" t="n">
        <v>9</v>
      </c>
    </row>
    <row r="36" hidden="1"/>
    <row r="37" hidden="1"/>
    <row r="38" hidden="1"/>
    <row r="39" hidden="1"/>
    <row r="40" hidden="1"/>
    <row r="41" hidden="1"/>
    <row r="42" hidden="1"/>
  </sheetData>
  <autoFilter ref="E7:AM42">
    <filterColumn colId="2" hiddenButton="0" showButton="1">
      <filters>
        <filter val="Efrain"/>
        <filter val="Fabian D."/>
        <filter val="Jimmy"/>
        <filter val="Luis"/>
        <filter val="Orlando"/>
        <filter val="Wilmer"/>
      </filters>
    </filterColumn>
    <sortState ref="E8:AM42">
      <sortCondition ref="G8:G42"/>
      <sortCondition ref="E8:E42"/>
    </sortState>
  </autoFilter>
  <conditionalFormatting sqref="E1:E1048576">
    <cfRule type="duplicateValues" priority="1" dxfId="0"/>
  </conditionalFormatting>
  <pageMargins left="0.7086614173228347" right="0.7086614173228347" top="0.7480314960629921" bottom="0.7480314960629921" header="0.3149606299212598" footer="0.3149606299212598"/>
  <pageSetup orientation="landscape" scale="7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Rodrigo Jimenez</dc:creator>
  <dcterms:created xsi:type="dcterms:W3CDTF">2025-11-05T14:16:25Z</dcterms:created>
  <dcterms:modified xsi:type="dcterms:W3CDTF">2026-01-05T15:34:06Z</dcterms:modified>
  <cp:lastModifiedBy>christian zambrano vallejos</cp:lastModifiedBy>
  <cp:lastPrinted>2025-11-05T14:35:35Z</cp:lastPrinted>
</cp:coreProperties>
</file>