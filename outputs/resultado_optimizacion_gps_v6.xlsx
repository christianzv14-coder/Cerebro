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fd171dda8de17894/Desktop/cerebro-patio/Cerebro/"/>
    </mc:Choice>
  </mc:AlternateContent>
  <xr:revisionPtr revIDLastSave="84" documentId="11_BF02A89A73F720A959B51692790C76CE00EE20F0" xr6:coauthVersionLast="47" xr6:coauthVersionMax="47" xr10:uidLastSave="{16ED4AAE-15E6-47CC-8FB4-4E75C868FB56}"/>
  <bookViews>
    <workbookView xWindow="-19310" yWindow="2500" windowWidth="19420" windowHeight="10300" xr2:uid="{00000000-000D-0000-FFFF-FFFF00000000}"/>
  </bookViews>
  <sheets>
    <sheet name="Resumen_Total" sheetId="1" r:id="rId1"/>
    <sheet name="Costos_por_Ciudad" sheetId="2" r:id="rId2"/>
    <sheet name="Costos_por_Tecnico" sheetId="3" r:id="rId3"/>
    <sheet name="Plan_Diario" sheetId="4" r:id="rId4"/>
    <sheet name="base_gantt" sheetId="7" r:id="rId5"/>
    <sheet name="Hoja1" sheetId="8" r:id="rId6"/>
    <sheet name="Demanda_y_Materiales" sheetId="5" r:id="rId7"/>
    <sheet name="Parametros" sheetId="6" r:id="rId8"/>
  </sheets>
  <definedNames>
    <definedName name="_xlnm._FilterDatabase" localSheetId="1" hidden="1">Costos_por_Ciudad!$A$1:$Q$32</definedName>
    <definedName name="_xlnm._FilterDatabase" localSheetId="3" hidden="1">Plan_Diario!$A$1:$P$130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7" l="1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D48" i="7" s="1"/>
  <c r="E48" i="7" s="1"/>
  <c r="A49" i="7"/>
  <c r="A50" i="7"/>
  <c r="A51" i="7"/>
  <c r="A52" i="7"/>
  <c r="A53" i="7"/>
  <c r="A54" i="7"/>
  <c r="A55" i="7"/>
  <c r="A56" i="7"/>
  <c r="D56" i="7" s="1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B105" i="7"/>
  <c r="C105" i="7"/>
  <c r="B106" i="7"/>
  <c r="C106" i="7"/>
  <c r="B107" i="7"/>
  <c r="C107" i="7"/>
  <c r="B108" i="7"/>
  <c r="C108" i="7"/>
  <c r="B109" i="7"/>
  <c r="C109" i="7"/>
  <c r="B110" i="7"/>
  <c r="C110" i="7"/>
  <c r="B111" i="7"/>
  <c r="C111" i="7"/>
  <c r="B112" i="7"/>
  <c r="C112" i="7"/>
  <c r="B113" i="7"/>
  <c r="C113" i="7"/>
  <c r="B114" i="7"/>
  <c r="C114" i="7"/>
  <c r="B115" i="7"/>
  <c r="C115" i="7"/>
  <c r="B116" i="7"/>
  <c r="C116" i="7"/>
  <c r="B117" i="7"/>
  <c r="C117" i="7"/>
  <c r="B118" i="7"/>
  <c r="C118" i="7"/>
  <c r="B119" i="7"/>
  <c r="C119" i="7"/>
  <c r="B120" i="7"/>
  <c r="C120" i="7"/>
  <c r="B121" i="7"/>
  <c r="C121" i="7"/>
  <c r="B122" i="7"/>
  <c r="C122" i="7"/>
  <c r="B123" i="7"/>
  <c r="C123" i="7"/>
  <c r="B124" i="7"/>
  <c r="C124" i="7"/>
  <c r="B125" i="7"/>
  <c r="C125" i="7"/>
  <c r="B126" i="7"/>
  <c r="C126" i="7"/>
  <c r="B127" i="7"/>
  <c r="C127" i="7"/>
  <c r="B128" i="7"/>
  <c r="C128" i="7"/>
  <c r="B129" i="7"/>
  <c r="C129" i="7"/>
  <c r="B130" i="7"/>
  <c r="C130" i="7"/>
  <c r="B3" i="7"/>
  <c r="C3" i="7"/>
  <c r="B4" i="7"/>
  <c r="C4" i="7"/>
  <c r="B5" i="7"/>
  <c r="C5" i="7"/>
  <c r="B6" i="7"/>
  <c r="C6" i="7"/>
  <c r="B7" i="7"/>
  <c r="C7" i="7"/>
  <c r="B8" i="7"/>
  <c r="C8" i="7"/>
  <c r="B9" i="7"/>
  <c r="C9" i="7"/>
  <c r="B10" i="7"/>
  <c r="C10" i="7"/>
  <c r="B11" i="7"/>
  <c r="C11" i="7"/>
  <c r="B12" i="7"/>
  <c r="C12" i="7"/>
  <c r="B13" i="7"/>
  <c r="C13" i="7"/>
  <c r="B14" i="7"/>
  <c r="C14" i="7"/>
  <c r="B15" i="7"/>
  <c r="C15" i="7"/>
  <c r="B16" i="7"/>
  <c r="C16" i="7"/>
  <c r="B17" i="7"/>
  <c r="C17" i="7"/>
  <c r="B18" i="7"/>
  <c r="C18" i="7"/>
  <c r="B19" i="7"/>
  <c r="C19" i="7"/>
  <c r="B20" i="7"/>
  <c r="C20" i="7"/>
  <c r="B21" i="7"/>
  <c r="C21" i="7"/>
  <c r="B22" i="7"/>
  <c r="C22" i="7"/>
  <c r="B23" i="7"/>
  <c r="C23" i="7"/>
  <c r="B24" i="7"/>
  <c r="C24" i="7"/>
  <c r="B25" i="7"/>
  <c r="C25" i="7"/>
  <c r="B26" i="7"/>
  <c r="C26" i="7"/>
  <c r="B27" i="7"/>
  <c r="C27" i="7"/>
  <c r="B28" i="7"/>
  <c r="C28" i="7"/>
  <c r="B29" i="7"/>
  <c r="C29" i="7"/>
  <c r="B30" i="7"/>
  <c r="C30" i="7"/>
  <c r="B31" i="7"/>
  <c r="C31" i="7"/>
  <c r="B32" i="7"/>
  <c r="C32" i="7"/>
  <c r="B33" i="7"/>
  <c r="C33" i="7"/>
  <c r="B34" i="7"/>
  <c r="C34" i="7"/>
  <c r="B35" i="7"/>
  <c r="C35" i="7"/>
  <c r="B36" i="7"/>
  <c r="C36" i="7"/>
  <c r="B37" i="7"/>
  <c r="C37" i="7"/>
  <c r="B38" i="7"/>
  <c r="C38" i="7"/>
  <c r="B39" i="7"/>
  <c r="C39" i="7"/>
  <c r="B40" i="7"/>
  <c r="C40" i="7"/>
  <c r="B41" i="7"/>
  <c r="C41" i="7"/>
  <c r="B42" i="7"/>
  <c r="C42" i="7"/>
  <c r="B43" i="7"/>
  <c r="C43" i="7"/>
  <c r="B44" i="7"/>
  <c r="C44" i="7"/>
  <c r="B45" i="7"/>
  <c r="C45" i="7"/>
  <c r="B46" i="7"/>
  <c r="C46" i="7"/>
  <c r="B47" i="7"/>
  <c r="C47" i="7"/>
  <c r="B48" i="7"/>
  <c r="C48" i="7"/>
  <c r="B49" i="7"/>
  <c r="C49" i="7"/>
  <c r="B50" i="7"/>
  <c r="C50" i="7"/>
  <c r="B51" i="7"/>
  <c r="C51" i="7"/>
  <c r="B52" i="7"/>
  <c r="C52" i="7"/>
  <c r="B53" i="7"/>
  <c r="C53" i="7"/>
  <c r="D53" i="7"/>
  <c r="B54" i="7"/>
  <c r="C54" i="7"/>
  <c r="B55" i="7"/>
  <c r="C55" i="7"/>
  <c r="B56" i="7"/>
  <c r="C56" i="7"/>
  <c r="B57" i="7"/>
  <c r="C57" i="7"/>
  <c r="B58" i="7"/>
  <c r="C58" i="7"/>
  <c r="B59" i="7"/>
  <c r="C59" i="7"/>
  <c r="B60" i="7"/>
  <c r="C60" i="7"/>
  <c r="B61" i="7"/>
  <c r="C61" i="7"/>
  <c r="B62" i="7"/>
  <c r="C62" i="7"/>
  <c r="B63" i="7"/>
  <c r="C63" i="7"/>
  <c r="B64" i="7"/>
  <c r="C64" i="7"/>
  <c r="B65" i="7"/>
  <c r="C65" i="7"/>
  <c r="B66" i="7"/>
  <c r="C66" i="7"/>
  <c r="B67" i="7"/>
  <c r="C67" i="7"/>
  <c r="B68" i="7"/>
  <c r="C68" i="7"/>
  <c r="B69" i="7"/>
  <c r="C69" i="7"/>
  <c r="B70" i="7"/>
  <c r="C70" i="7"/>
  <c r="B71" i="7"/>
  <c r="C71" i="7"/>
  <c r="B72" i="7"/>
  <c r="C72" i="7"/>
  <c r="B73" i="7"/>
  <c r="C73" i="7"/>
  <c r="B74" i="7"/>
  <c r="C74" i="7"/>
  <c r="B75" i="7"/>
  <c r="C75" i="7"/>
  <c r="B76" i="7"/>
  <c r="C76" i="7"/>
  <c r="B77" i="7"/>
  <c r="C77" i="7"/>
  <c r="B78" i="7"/>
  <c r="C78" i="7"/>
  <c r="B79" i="7"/>
  <c r="C79" i="7"/>
  <c r="B80" i="7"/>
  <c r="C80" i="7"/>
  <c r="B81" i="7"/>
  <c r="C81" i="7"/>
  <c r="B82" i="7"/>
  <c r="C82" i="7"/>
  <c r="B83" i="7"/>
  <c r="C83" i="7"/>
  <c r="B84" i="7"/>
  <c r="C84" i="7"/>
  <c r="B85" i="7"/>
  <c r="C85" i="7"/>
  <c r="B86" i="7"/>
  <c r="C86" i="7"/>
  <c r="B87" i="7"/>
  <c r="C87" i="7"/>
  <c r="B88" i="7"/>
  <c r="C88" i="7"/>
  <c r="B89" i="7"/>
  <c r="C89" i="7"/>
  <c r="B90" i="7"/>
  <c r="C90" i="7"/>
  <c r="B91" i="7"/>
  <c r="C91" i="7"/>
  <c r="B92" i="7"/>
  <c r="C92" i="7"/>
  <c r="B93" i="7"/>
  <c r="C93" i="7"/>
  <c r="B94" i="7"/>
  <c r="C94" i="7"/>
  <c r="B95" i="7"/>
  <c r="C95" i="7"/>
  <c r="B96" i="7"/>
  <c r="C96" i="7"/>
  <c r="B97" i="7"/>
  <c r="C97" i="7"/>
  <c r="B98" i="7"/>
  <c r="C98" i="7"/>
  <c r="B99" i="7"/>
  <c r="C99" i="7"/>
  <c r="B100" i="7"/>
  <c r="C100" i="7"/>
  <c r="B101" i="7"/>
  <c r="C101" i="7"/>
  <c r="B102" i="7"/>
  <c r="C102" i="7"/>
  <c r="B103" i="7"/>
  <c r="C103" i="7"/>
  <c r="B104" i="7"/>
  <c r="C104" i="7"/>
  <c r="B2" i="7"/>
  <c r="C2" i="7"/>
  <c r="D117" i="7" l="1"/>
  <c r="E117" i="7" s="1"/>
  <c r="D20" i="7"/>
  <c r="D12" i="7"/>
  <c r="E12" i="7" s="1"/>
  <c r="D103" i="7"/>
  <c r="D75" i="7"/>
  <c r="E75" i="7" s="1"/>
  <c r="D47" i="7"/>
  <c r="E47" i="7" s="1"/>
  <c r="D62" i="7"/>
  <c r="E62" i="7" s="1"/>
  <c r="D61" i="7"/>
  <c r="E61" i="7" s="1"/>
  <c r="D98" i="7"/>
  <c r="D35" i="7"/>
  <c r="E35" i="7" s="1"/>
  <c r="D72" i="7"/>
  <c r="E72" i="7" s="1"/>
  <c r="D6" i="7"/>
  <c r="D90" i="7"/>
  <c r="E90" i="7" s="1"/>
  <c r="D5" i="7"/>
  <c r="E5" i="7" s="1"/>
  <c r="D76" i="7"/>
  <c r="E76" i="7" s="1"/>
  <c r="D60" i="7"/>
  <c r="E60" i="7" s="1"/>
  <c r="D52" i="7"/>
  <c r="E52" i="7" s="1"/>
  <c r="D40" i="7"/>
  <c r="E40" i="7" s="1"/>
  <c r="D115" i="7"/>
  <c r="E115" i="7" s="1"/>
  <c r="D99" i="7"/>
  <c r="E99" i="7" s="1"/>
  <c r="D83" i="7"/>
  <c r="E83" i="7" s="1"/>
  <c r="D67" i="7"/>
  <c r="E67" i="7" s="1"/>
  <c r="D27" i="7"/>
  <c r="E27" i="7" s="1"/>
  <c r="D19" i="7"/>
  <c r="E19" i="7" s="1"/>
  <c r="D2" i="7"/>
  <c r="D107" i="7"/>
  <c r="E107" i="7" s="1"/>
  <c r="D91" i="7"/>
  <c r="E91" i="7" s="1"/>
  <c r="D11" i="7"/>
  <c r="E11" i="7" s="1"/>
  <c r="D104" i="7"/>
  <c r="E104" i="7" s="1"/>
  <c r="D74" i="7"/>
  <c r="E74" i="7" s="1"/>
  <c r="D26" i="7"/>
  <c r="E26" i="7" s="1"/>
  <c r="D69" i="7"/>
  <c r="E69" i="7" s="1"/>
  <c r="E56" i="7"/>
  <c r="D44" i="7"/>
  <c r="E44" i="7" s="1"/>
  <c r="D43" i="7"/>
  <c r="E43" i="7" s="1"/>
  <c r="D18" i="7"/>
  <c r="E18" i="7" s="1"/>
  <c r="D88" i="7"/>
  <c r="E88" i="7" s="1"/>
  <c r="D16" i="7"/>
  <c r="E16" i="7" s="1"/>
  <c r="D127" i="7"/>
  <c r="E127" i="7" s="1"/>
  <c r="D119" i="7"/>
  <c r="E119" i="7" s="1"/>
  <c r="D111" i="7"/>
  <c r="E111" i="7" s="1"/>
  <c r="D95" i="7"/>
  <c r="E95" i="7" s="1"/>
  <c r="D87" i="7"/>
  <c r="E87" i="7" s="1"/>
  <c r="D79" i="7"/>
  <c r="E79" i="7" s="1"/>
  <c r="D71" i="7"/>
  <c r="E71" i="7" s="1"/>
  <c r="D63" i="7"/>
  <c r="E63" i="7" s="1"/>
  <c r="D55" i="7"/>
  <c r="E55" i="7" s="1"/>
  <c r="D39" i="7"/>
  <c r="E39" i="7" s="1"/>
  <c r="D31" i="7"/>
  <c r="E31" i="7" s="1"/>
  <c r="D15" i="7"/>
  <c r="E15" i="7" s="1"/>
  <c r="D7" i="7"/>
  <c r="E7" i="7" s="1"/>
  <c r="D68" i="7"/>
  <c r="E68" i="7" s="1"/>
  <c r="D32" i="7"/>
  <c r="E32" i="7" s="1"/>
  <c r="D82" i="7"/>
  <c r="E82" i="7" s="1"/>
  <c r="D10" i="7"/>
  <c r="E10" i="7" s="1"/>
  <c r="D96" i="7"/>
  <c r="E96" i="7" s="1"/>
  <c r="D24" i="7"/>
  <c r="E24" i="7" s="1"/>
  <c r="E2" i="7"/>
  <c r="D80" i="7"/>
  <c r="E80" i="7" s="1"/>
  <c r="D102" i="7"/>
  <c r="E102" i="7" s="1"/>
  <c r="D94" i="7"/>
  <c r="E94" i="7" s="1"/>
  <c r="D70" i="7"/>
  <c r="E70" i="7" s="1"/>
  <c r="D54" i="7"/>
  <c r="E54" i="7" s="1"/>
  <c r="D46" i="7"/>
  <c r="E46" i="7" s="1"/>
  <c r="D38" i="7"/>
  <c r="E38" i="7" s="1"/>
  <c r="D30" i="7"/>
  <c r="E30" i="7" s="1"/>
  <c r="D14" i="7"/>
  <c r="E14" i="7" s="1"/>
  <c r="D125" i="7"/>
  <c r="E125" i="7" s="1"/>
  <c r="D93" i="7"/>
  <c r="E93" i="7" s="1"/>
  <c r="D85" i="7"/>
  <c r="E85" i="7" s="1"/>
  <c r="D77" i="7"/>
  <c r="E77" i="7" s="1"/>
  <c r="D29" i="7"/>
  <c r="E29" i="7" s="1"/>
  <c r="D21" i="7"/>
  <c r="E21" i="7" s="1"/>
  <c r="D13" i="7"/>
  <c r="E13" i="7" s="1"/>
  <c r="D34" i="7"/>
  <c r="E34" i="7" s="1"/>
  <c r="E103" i="7"/>
  <c r="D8" i="7"/>
  <c r="E8" i="7" s="1"/>
  <c r="D64" i="7"/>
  <c r="E64" i="7" s="1"/>
  <c r="D45" i="7"/>
  <c r="E45" i="7" s="1"/>
  <c r="D37" i="7"/>
  <c r="E37" i="7" s="1"/>
  <c r="D23" i="7"/>
  <c r="E23" i="7" s="1"/>
  <c r="D86" i="7"/>
  <c r="E86" i="7" s="1"/>
  <c r="D78" i="7"/>
  <c r="E78" i="7" s="1"/>
  <c r="D22" i="7"/>
  <c r="E22" i="7" s="1"/>
  <c r="D109" i="7"/>
  <c r="E109" i="7" s="1"/>
  <c r="D101" i="7"/>
  <c r="E101" i="7" s="1"/>
  <c r="D28" i="7"/>
  <c r="E28" i="7" s="1"/>
  <c r="E98" i="7"/>
  <c r="D84" i="7"/>
  <c r="E84" i="7" s="1"/>
  <c r="E53" i="7"/>
  <c r="D42" i="7"/>
  <c r="E42" i="7" s="1"/>
  <c r="D59" i="7"/>
  <c r="E59" i="7" s="1"/>
  <c r="D51" i="7"/>
  <c r="E51" i="7" s="1"/>
  <c r="D92" i="7"/>
  <c r="E92" i="7" s="1"/>
  <c r="E20" i="7"/>
  <c r="E6" i="7"/>
  <c r="D123" i="7"/>
  <c r="E123" i="7" s="1"/>
  <c r="D50" i="7"/>
  <c r="E50" i="7" s="1"/>
  <c r="D36" i="7"/>
  <c r="E36" i="7" s="1"/>
  <c r="D106" i="7"/>
  <c r="E106" i="7" s="1"/>
  <c r="D100" i="7"/>
  <c r="E100" i="7" s="1"/>
  <c r="D58" i="7"/>
  <c r="E58" i="7" s="1"/>
  <c r="D66" i="7"/>
  <c r="E66" i="7" s="1"/>
  <c r="D129" i="7"/>
  <c r="E129" i="7" s="1"/>
  <c r="D121" i="7"/>
  <c r="E121" i="7" s="1"/>
  <c r="D113" i="7"/>
  <c r="E113" i="7" s="1"/>
  <c r="D97" i="7"/>
  <c r="E97" i="7" s="1"/>
  <c r="D89" i="7"/>
  <c r="E89" i="7" s="1"/>
  <c r="D81" i="7"/>
  <c r="E81" i="7" s="1"/>
  <c r="D73" i="7"/>
  <c r="E73" i="7" s="1"/>
  <c r="D65" i="7"/>
  <c r="E65" i="7" s="1"/>
  <c r="D57" i="7"/>
  <c r="E57" i="7" s="1"/>
  <c r="D49" i="7"/>
  <c r="E49" i="7" s="1"/>
  <c r="D41" i="7"/>
  <c r="E41" i="7" s="1"/>
  <c r="D33" i="7"/>
  <c r="E33" i="7" s="1"/>
  <c r="D25" i="7"/>
  <c r="E25" i="7" s="1"/>
  <c r="D17" i="7"/>
  <c r="E17" i="7" s="1"/>
  <c r="D9" i="7"/>
  <c r="E9" i="7" s="1"/>
  <c r="D118" i="7"/>
  <c r="E118" i="7" s="1"/>
  <c r="D124" i="7"/>
  <c r="E124" i="7" s="1"/>
  <c r="D112" i="7"/>
  <c r="E112" i="7" s="1"/>
  <c r="D105" i="7"/>
  <c r="E105" i="7" s="1"/>
  <c r="D4" i="7"/>
  <c r="E4" i="7" s="1"/>
  <c r="D120" i="7"/>
  <c r="E120" i="7" s="1"/>
  <c r="D3" i="7"/>
  <c r="E3" i="7" s="1"/>
  <c r="D122" i="7"/>
  <c r="E122" i="7" s="1"/>
  <c r="D108" i="7"/>
  <c r="E108" i="7" s="1"/>
  <c r="D126" i="7"/>
  <c r="E126" i="7" s="1"/>
  <c r="D128" i="7"/>
  <c r="E128" i="7" s="1"/>
  <c r="D110" i="7"/>
  <c r="E110" i="7" s="1"/>
  <c r="D130" i="7"/>
  <c r="E130" i="7" s="1"/>
  <c r="D114" i="7"/>
  <c r="E114" i="7" s="1"/>
  <c r="D116" i="7"/>
  <c r="E116" i="7" s="1"/>
</calcChain>
</file>

<file path=xl/sharedStrings.xml><?xml version="1.0" encoding="utf-8"?>
<sst xmlns="http://schemas.openxmlformats.org/spreadsheetml/2006/main" count="704" uniqueCount="122">
  <si>
    <t>baseline_all_external_uf</t>
  </si>
  <si>
    <t>final_total_uf</t>
  </si>
  <si>
    <t>savings_uf</t>
  </si>
  <si>
    <t>n_internal_cities</t>
  </si>
  <si>
    <t>n_external_cities</t>
  </si>
  <si>
    <t>santiago_gps_total</t>
  </si>
  <si>
    <t>santiago_gps_internal</t>
  </si>
  <si>
    <t>santiago_gps_external</t>
  </si>
  <si>
    <t>sum_viaje_uf</t>
  </si>
  <si>
    <t>sum_aloj_uf</t>
  </si>
  <si>
    <t>sum_alm_uf</t>
  </si>
  <si>
    <t>sum_inc_uf</t>
  </si>
  <si>
    <t>sum_sueldo_uf</t>
  </si>
  <si>
    <t>sum_flete_uf</t>
  </si>
  <si>
    <t>sum_pxq_total_uf</t>
  </si>
  <si>
    <t>sum_material_uf</t>
  </si>
  <si>
    <t>sum_total_uf</t>
  </si>
  <si>
    <t>ciudad</t>
  </si>
  <si>
    <t>tipo_final</t>
  </si>
  <si>
    <t>responsable</t>
  </si>
  <si>
    <t>viaje_uf</t>
  </si>
  <si>
    <t>aloj_uf</t>
  </si>
  <si>
    <t>alm_uf</t>
  </si>
  <si>
    <t>inc_uf</t>
  </si>
  <si>
    <t>sueldo_uf</t>
  </si>
  <si>
    <t>flete_uf</t>
  </si>
  <si>
    <t>pxq_total_uf</t>
  </si>
  <si>
    <t>material_uf</t>
  </si>
  <si>
    <t>gps_total</t>
  </si>
  <si>
    <t>horas_instal_total</t>
  </si>
  <si>
    <t>horas_instal_sim</t>
  </si>
  <si>
    <t>gps_inst_sim</t>
  </si>
  <si>
    <t>total_uf</t>
  </si>
  <si>
    <t>gps_externo</t>
  </si>
  <si>
    <t>Santiago</t>
  </si>
  <si>
    <t>mixto_scl</t>
  </si>
  <si>
    <t>MIXTO</t>
  </si>
  <si>
    <t>Valparaiso</t>
  </si>
  <si>
    <t>interno</t>
  </si>
  <si>
    <t>Luis</t>
  </si>
  <si>
    <t>Mejillones</t>
  </si>
  <si>
    <t>Orlando</t>
  </si>
  <si>
    <t>San Vicente</t>
  </si>
  <si>
    <t>Wilmer</t>
  </si>
  <si>
    <t>Iquique</t>
  </si>
  <si>
    <t>Fabian D.</t>
  </si>
  <si>
    <t>Puerto Montt</t>
  </si>
  <si>
    <t>Jimmy</t>
  </si>
  <si>
    <t>Lautaro</t>
  </si>
  <si>
    <t>San Fernando</t>
  </si>
  <si>
    <t>Punta Arenas</t>
  </si>
  <si>
    <t>Efrain</t>
  </si>
  <si>
    <t>Caldera</t>
  </si>
  <si>
    <t>Antofagasta</t>
  </si>
  <si>
    <t>Puerto Aysen</t>
  </si>
  <si>
    <t>externo</t>
  </si>
  <si>
    <t>Coquimbo</t>
  </si>
  <si>
    <t>Arica</t>
  </si>
  <si>
    <t>Concepción</t>
  </si>
  <si>
    <t>Calama</t>
  </si>
  <si>
    <t>Ovalle</t>
  </si>
  <si>
    <t>Puerto Natales</t>
  </si>
  <si>
    <t>Linares</t>
  </si>
  <si>
    <t>San Antonio</t>
  </si>
  <si>
    <t>Valdivia</t>
  </si>
  <si>
    <t>Los Ángeles</t>
  </si>
  <si>
    <t>Osorno</t>
  </si>
  <si>
    <t>Talca</t>
  </si>
  <si>
    <t>Castro</t>
  </si>
  <si>
    <t>Chillán</t>
  </si>
  <si>
    <t>Coronel</t>
  </si>
  <si>
    <t>Copiapó</t>
  </si>
  <si>
    <t>Puerto Williams</t>
  </si>
  <si>
    <t>Pichirropulli</t>
  </si>
  <si>
    <t>Romeral</t>
  </si>
  <si>
    <t>tipo</t>
  </si>
  <si>
    <t>travel_uf</t>
  </si>
  <si>
    <t>ciudades_regiones</t>
  </si>
  <si>
    <t>santiago_horas_asignadas</t>
  </si>
  <si>
    <t>hd_inst_h_dia</t>
  </si>
  <si>
    <t>base</t>
  </si>
  <si>
    <t>INTERNO</t>
  </si>
  <si>
    <t>Mejillones, Antofagasta, Caldera</t>
  </si>
  <si>
    <t>Valparaiso, Ovalle, Coquimbo</t>
  </si>
  <si>
    <t>Concepción, Coronel, Los Ángeles, Lautaro, Valdivia, Osorno, Puerto Montt</t>
  </si>
  <si>
    <t>San Antonio, San Vicente, San Fernando, Talca, Linares</t>
  </si>
  <si>
    <t>Arica, Iquique</t>
  </si>
  <si>
    <t>Punta Arenas, Puerto Natales</t>
  </si>
  <si>
    <t>Carlos</t>
  </si>
  <si>
    <t>tecnico</t>
  </si>
  <si>
    <t>dia</t>
  </si>
  <si>
    <t>ciudad_trabajo</t>
  </si>
  <si>
    <t>horas_instal</t>
  </si>
  <si>
    <t>gps_inst</t>
  </si>
  <si>
    <t>viaje_modo_manana</t>
  </si>
  <si>
    <t>viaje_h_manana</t>
  </si>
  <si>
    <t>duerme_en</t>
  </si>
  <si>
    <t>nota</t>
  </si>
  <si>
    <t>avion</t>
  </si>
  <si>
    <t>terrestre</t>
  </si>
  <si>
    <t>vehiculos_1gps</t>
  </si>
  <si>
    <t>vehiculos_2gps</t>
  </si>
  <si>
    <t>horas</t>
  </si>
  <si>
    <t>pxq_uf_gps</t>
  </si>
  <si>
    <t>parametro</t>
  </si>
  <si>
    <t>valor</t>
  </si>
  <si>
    <t>valor_uf</t>
  </si>
  <si>
    <t>precio_bencina</t>
  </si>
  <si>
    <t>alojamiento_uf_noche</t>
  </si>
  <si>
    <t>almuerzo_uf_dia</t>
  </si>
  <si>
    <t>incentivo_por_gps</t>
  </si>
  <si>
    <t>costo_intra_ciudad</t>
  </si>
  <si>
    <t>horas_jornada</t>
  </si>
  <si>
    <t>tiempo_instalacion_gps</t>
  </si>
  <si>
    <t>dias_semana</t>
  </si>
  <si>
    <t>semanas_proyecto</t>
  </si>
  <si>
    <t>velocidad_terrestre</t>
  </si>
  <si>
    <t>Tecnico</t>
  </si>
  <si>
    <t>Ciudad</t>
  </si>
  <si>
    <t>Inicio</t>
  </si>
  <si>
    <t>Duracion</t>
  </si>
  <si>
    <t>GPS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</si>
</sst>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base_gantt!$C$1</c:f>
              <c:strCache>
                <c:ptCount val="1"/>
                <c:pt idx="0">
                  <c:v>Inicio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base_gantt!$A$2:$A$130</c:f>
              <c:strCache>
                <c:ptCount val="129"/>
                <c:pt idx="0">
                  <c:v>Efrain</c:v>
                </c:pt>
                <c:pt idx="1">
                  <c:v>Efrain</c:v>
                </c:pt>
                <c:pt idx="2">
                  <c:v>Efrain</c:v>
                </c:pt>
                <c:pt idx="3">
                  <c:v>Efrain</c:v>
                </c:pt>
                <c:pt idx="4">
                  <c:v>Efrain</c:v>
                </c:pt>
                <c:pt idx="5">
                  <c:v>Efrain</c:v>
                </c:pt>
                <c:pt idx="6">
                  <c:v>Efrain</c:v>
                </c:pt>
                <c:pt idx="7">
                  <c:v>Efrain</c:v>
                </c:pt>
                <c:pt idx="8">
                  <c:v>Efrain</c:v>
                </c:pt>
                <c:pt idx="9">
                  <c:v>Efrain</c:v>
                </c:pt>
                <c:pt idx="10">
                  <c:v>Efrain</c:v>
                </c:pt>
                <c:pt idx="11">
                  <c:v>Efrain</c:v>
                </c:pt>
                <c:pt idx="12">
                  <c:v>Efrain</c:v>
                </c:pt>
                <c:pt idx="13">
                  <c:v>Efrain</c:v>
                </c:pt>
                <c:pt idx="14">
                  <c:v>Fabian D.</c:v>
                </c:pt>
                <c:pt idx="15">
                  <c:v>Fabian D.</c:v>
                </c:pt>
                <c:pt idx="16">
                  <c:v>Fabian D.</c:v>
                </c:pt>
                <c:pt idx="17">
                  <c:v>Fabian D.</c:v>
                </c:pt>
                <c:pt idx="18">
                  <c:v>Fabian D.</c:v>
                </c:pt>
                <c:pt idx="19">
                  <c:v>Fabian D.</c:v>
                </c:pt>
                <c:pt idx="20">
                  <c:v>Fabian D.</c:v>
                </c:pt>
                <c:pt idx="21">
                  <c:v>Fabian D.</c:v>
                </c:pt>
                <c:pt idx="22">
                  <c:v>Fabian D.</c:v>
                </c:pt>
                <c:pt idx="23">
                  <c:v>Fabian D.</c:v>
                </c:pt>
                <c:pt idx="24">
                  <c:v>Fabian D.</c:v>
                </c:pt>
                <c:pt idx="25">
                  <c:v>Fabian D.</c:v>
                </c:pt>
                <c:pt idx="26">
                  <c:v>Fabian D.</c:v>
                </c:pt>
                <c:pt idx="27">
                  <c:v>Fabian D.</c:v>
                </c:pt>
                <c:pt idx="28">
                  <c:v>Fabian D.</c:v>
                </c:pt>
                <c:pt idx="29">
                  <c:v>Fabian D.</c:v>
                </c:pt>
                <c:pt idx="30">
                  <c:v>Fabian D.</c:v>
                </c:pt>
                <c:pt idx="31">
                  <c:v>Fabian D.</c:v>
                </c:pt>
                <c:pt idx="32">
                  <c:v>Fabian D.</c:v>
                </c:pt>
                <c:pt idx="33">
                  <c:v>Fabian D.</c:v>
                </c:pt>
                <c:pt idx="34">
                  <c:v>Fabian D.</c:v>
                </c:pt>
                <c:pt idx="35">
                  <c:v>Fabian D.</c:v>
                </c:pt>
                <c:pt idx="36">
                  <c:v>Fabian D.</c:v>
                </c:pt>
                <c:pt idx="37">
                  <c:v>Fabian D.</c:v>
                </c:pt>
                <c:pt idx="38">
                  <c:v>Jimmy</c:v>
                </c:pt>
                <c:pt idx="39">
                  <c:v>Jimmy</c:v>
                </c:pt>
                <c:pt idx="40">
                  <c:v>Jimmy</c:v>
                </c:pt>
                <c:pt idx="41">
                  <c:v>Jimmy</c:v>
                </c:pt>
                <c:pt idx="42">
                  <c:v>Jimmy</c:v>
                </c:pt>
                <c:pt idx="43">
                  <c:v>Jimmy</c:v>
                </c:pt>
                <c:pt idx="44">
                  <c:v>Jimmy</c:v>
                </c:pt>
                <c:pt idx="45">
                  <c:v>Jimmy</c:v>
                </c:pt>
                <c:pt idx="46">
                  <c:v>Jimmy</c:v>
                </c:pt>
                <c:pt idx="47">
                  <c:v>Jimmy</c:v>
                </c:pt>
                <c:pt idx="48">
                  <c:v>Jimmy</c:v>
                </c:pt>
                <c:pt idx="49">
                  <c:v>Jimmy</c:v>
                </c:pt>
                <c:pt idx="50">
                  <c:v>Jimmy</c:v>
                </c:pt>
                <c:pt idx="51">
                  <c:v>Jimmy</c:v>
                </c:pt>
                <c:pt idx="52">
                  <c:v>Jimmy</c:v>
                </c:pt>
                <c:pt idx="53">
                  <c:v>Jimmy</c:v>
                </c:pt>
                <c:pt idx="54">
                  <c:v>Jimmy</c:v>
                </c:pt>
                <c:pt idx="55">
                  <c:v>Jimmy</c:v>
                </c:pt>
                <c:pt idx="56">
                  <c:v>Jimmy</c:v>
                </c:pt>
                <c:pt idx="57">
                  <c:v>Jimmy</c:v>
                </c:pt>
                <c:pt idx="58">
                  <c:v>Luis</c:v>
                </c:pt>
                <c:pt idx="59">
                  <c:v>Luis</c:v>
                </c:pt>
                <c:pt idx="60">
                  <c:v>Luis</c:v>
                </c:pt>
                <c:pt idx="61">
                  <c:v>Luis</c:v>
                </c:pt>
                <c:pt idx="62">
                  <c:v>Luis</c:v>
                </c:pt>
                <c:pt idx="63">
                  <c:v>Luis</c:v>
                </c:pt>
                <c:pt idx="64">
                  <c:v>Luis</c:v>
                </c:pt>
                <c:pt idx="65">
                  <c:v>Luis</c:v>
                </c:pt>
                <c:pt idx="66">
                  <c:v>Luis</c:v>
                </c:pt>
                <c:pt idx="67">
                  <c:v>Luis</c:v>
                </c:pt>
                <c:pt idx="68">
                  <c:v>Luis</c:v>
                </c:pt>
                <c:pt idx="69">
                  <c:v>Luis</c:v>
                </c:pt>
                <c:pt idx="70">
                  <c:v>Luis</c:v>
                </c:pt>
                <c:pt idx="71">
                  <c:v>Luis</c:v>
                </c:pt>
                <c:pt idx="72">
                  <c:v>Luis</c:v>
                </c:pt>
                <c:pt idx="73">
                  <c:v>Luis</c:v>
                </c:pt>
                <c:pt idx="74">
                  <c:v>Luis</c:v>
                </c:pt>
                <c:pt idx="75">
                  <c:v>Luis</c:v>
                </c:pt>
                <c:pt idx="76">
                  <c:v>Luis</c:v>
                </c:pt>
                <c:pt idx="77">
                  <c:v>Luis</c:v>
                </c:pt>
                <c:pt idx="78">
                  <c:v>Luis</c:v>
                </c:pt>
                <c:pt idx="79">
                  <c:v>Luis</c:v>
                </c:pt>
                <c:pt idx="80">
                  <c:v>Luis</c:v>
                </c:pt>
                <c:pt idx="81">
                  <c:v>Luis</c:v>
                </c:pt>
                <c:pt idx="82">
                  <c:v>Orlando</c:v>
                </c:pt>
                <c:pt idx="83">
                  <c:v>Orlando</c:v>
                </c:pt>
                <c:pt idx="84">
                  <c:v>Orlando</c:v>
                </c:pt>
                <c:pt idx="85">
                  <c:v>Orlando</c:v>
                </c:pt>
                <c:pt idx="86">
                  <c:v>Orlando</c:v>
                </c:pt>
                <c:pt idx="87">
                  <c:v>Orlando</c:v>
                </c:pt>
                <c:pt idx="88">
                  <c:v>Orlando</c:v>
                </c:pt>
                <c:pt idx="89">
                  <c:v>Orlando</c:v>
                </c:pt>
                <c:pt idx="90">
                  <c:v>Orlando</c:v>
                </c:pt>
                <c:pt idx="91">
                  <c:v>Orlando</c:v>
                </c:pt>
                <c:pt idx="92">
                  <c:v>Orlando</c:v>
                </c:pt>
                <c:pt idx="93">
                  <c:v>Orlando</c:v>
                </c:pt>
                <c:pt idx="94">
                  <c:v>Orlando</c:v>
                </c:pt>
                <c:pt idx="95">
                  <c:v>Orlando</c:v>
                </c:pt>
                <c:pt idx="96">
                  <c:v>Orlando</c:v>
                </c:pt>
                <c:pt idx="97">
                  <c:v>Orlando</c:v>
                </c:pt>
                <c:pt idx="98">
                  <c:v>Orlando</c:v>
                </c:pt>
                <c:pt idx="99">
                  <c:v>Orlando</c:v>
                </c:pt>
                <c:pt idx="100">
                  <c:v>Orlando</c:v>
                </c:pt>
                <c:pt idx="101">
                  <c:v>Orlando</c:v>
                </c:pt>
                <c:pt idx="102">
                  <c:v>Orlando</c:v>
                </c:pt>
                <c:pt idx="103">
                  <c:v>Orlando</c:v>
                </c:pt>
                <c:pt idx="104">
                  <c:v>Orlando</c:v>
                </c:pt>
                <c:pt idx="105">
                  <c:v>Wilmer</c:v>
                </c:pt>
                <c:pt idx="106">
                  <c:v>Wilmer</c:v>
                </c:pt>
                <c:pt idx="107">
                  <c:v>Wilmer</c:v>
                </c:pt>
                <c:pt idx="108">
                  <c:v>Wilmer</c:v>
                </c:pt>
                <c:pt idx="109">
                  <c:v>Wilmer</c:v>
                </c:pt>
                <c:pt idx="110">
                  <c:v>Wilmer</c:v>
                </c:pt>
                <c:pt idx="111">
                  <c:v>Wilmer</c:v>
                </c:pt>
                <c:pt idx="112">
                  <c:v>Wilmer</c:v>
                </c:pt>
                <c:pt idx="113">
                  <c:v>Wilmer</c:v>
                </c:pt>
                <c:pt idx="114">
                  <c:v>Wilmer</c:v>
                </c:pt>
                <c:pt idx="115">
                  <c:v>Wilmer</c:v>
                </c:pt>
                <c:pt idx="116">
                  <c:v>Wilmer</c:v>
                </c:pt>
                <c:pt idx="117">
                  <c:v>Wilmer</c:v>
                </c:pt>
                <c:pt idx="118">
                  <c:v>Wilmer</c:v>
                </c:pt>
                <c:pt idx="119">
                  <c:v>Wilmer</c:v>
                </c:pt>
                <c:pt idx="120">
                  <c:v>Wilmer</c:v>
                </c:pt>
                <c:pt idx="121">
                  <c:v>Wilmer</c:v>
                </c:pt>
                <c:pt idx="122">
                  <c:v>Wilmer</c:v>
                </c:pt>
                <c:pt idx="123">
                  <c:v>Wilmer</c:v>
                </c:pt>
                <c:pt idx="124">
                  <c:v>Wilmer</c:v>
                </c:pt>
                <c:pt idx="125">
                  <c:v>Wilmer</c:v>
                </c:pt>
                <c:pt idx="126">
                  <c:v>Wilmer</c:v>
                </c:pt>
                <c:pt idx="127">
                  <c:v>Wilmer</c:v>
                </c:pt>
                <c:pt idx="128">
                  <c:v>Wilmer</c:v>
                </c:pt>
              </c:strCache>
            </c:strRef>
          </c:cat>
          <c:val>
            <c:numRef>
              <c:f>base_gantt!$C$2:$C$130</c:f>
              <c:numCache>
                <c:formatCode>General</c:formatCode>
                <c:ptCount val="12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</c:v>
                </c:pt>
                <c:pt idx="15">
                  <c:v>2</c:v>
                </c:pt>
                <c:pt idx="16">
                  <c:v>3</c:v>
                </c:pt>
                <c:pt idx="17">
                  <c:v>4</c:v>
                </c:pt>
                <c:pt idx="18">
                  <c:v>5</c:v>
                </c:pt>
                <c:pt idx="19">
                  <c:v>6</c:v>
                </c:pt>
                <c:pt idx="20">
                  <c:v>7</c:v>
                </c:pt>
                <c:pt idx="21">
                  <c:v>8</c:v>
                </c:pt>
                <c:pt idx="22">
                  <c:v>9</c:v>
                </c:pt>
                <c:pt idx="23">
                  <c:v>10</c:v>
                </c:pt>
                <c:pt idx="24">
                  <c:v>11</c:v>
                </c:pt>
                <c:pt idx="25">
                  <c:v>12</c:v>
                </c:pt>
                <c:pt idx="26">
                  <c:v>13</c:v>
                </c:pt>
                <c:pt idx="27">
                  <c:v>14</c:v>
                </c:pt>
                <c:pt idx="28">
                  <c:v>15</c:v>
                </c:pt>
                <c:pt idx="29">
                  <c:v>16</c:v>
                </c:pt>
                <c:pt idx="30">
                  <c:v>17</c:v>
                </c:pt>
                <c:pt idx="31">
                  <c:v>18</c:v>
                </c:pt>
                <c:pt idx="32">
                  <c:v>19</c:v>
                </c:pt>
                <c:pt idx="33">
                  <c:v>20</c:v>
                </c:pt>
                <c:pt idx="34">
                  <c:v>21</c:v>
                </c:pt>
                <c:pt idx="35">
                  <c:v>22</c:v>
                </c:pt>
                <c:pt idx="36">
                  <c:v>23</c:v>
                </c:pt>
                <c:pt idx="37">
                  <c:v>24</c:v>
                </c:pt>
                <c:pt idx="38">
                  <c:v>1</c:v>
                </c:pt>
                <c:pt idx="39">
                  <c:v>2</c:v>
                </c:pt>
                <c:pt idx="40">
                  <c:v>3</c:v>
                </c:pt>
                <c:pt idx="41">
                  <c:v>4</c:v>
                </c:pt>
                <c:pt idx="42">
                  <c:v>5</c:v>
                </c:pt>
                <c:pt idx="43">
                  <c:v>6</c:v>
                </c:pt>
                <c:pt idx="44">
                  <c:v>7</c:v>
                </c:pt>
                <c:pt idx="45">
                  <c:v>8</c:v>
                </c:pt>
                <c:pt idx="46">
                  <c:v>9</c:v>
                </c:pt>
                <c:pt idx="47">
                  <c:v>10</c:v>
                </c:pt>
                <c:pt idx="48">
                  <c:v>11</c:v>
                </c:pt>
                <c:pt idx="49">
                  <c:v>12</c:v>
                </c:pt>
                <c:pt idx="50">
                  <c:v>13</c:v>
                </c:pt>
                <c:pt idx="51">
                  <c:v>14</c:v>
                </c:pt>
                <c:pt idx="52">
                  <c:v>15</c:v>
                </c:pt>
                <c:pt idx="53">
                  <c:v>16</c:v>
                </c:pt>
                <c:pt idx="54">
                  <c:v>17</c:v>
                </c:pt>
                <c:pt idx="55">
                  <c:v>18</c:v>
                </c:pt>
                <c:pt idx="56">
                  <c:v>19</c:v>
                </c:pt>
                <c:pt idx="57">
                  <c:v>20</c:v>
                </c:pt>
                <c:pt idx="58">
                  <c:v>1</c:v>
                </c:pt>
                <c:pt idx="59">
                  <c:v>2</c:v>
                </c:pt>
                <c:pt idx="60">
                  <c:v>3</c:v>
                </c:pt>
                <c:pt idx="61">
                  <c:v>4</c:v>
                </c:pt>
                <c:pt idx="62">
                  <c:v>5</c:v>
                </c:pt>
                <c:pt idx="63">
                  <c:v>6</c:v>
                </c:pt>
                <c:pt idx="64">
                  <c:v>7</c:v>
                </c:pt>
                <c:pt idx="65">
                  <c:v>8</c:v>
                </c:pt>
                <c:pt idx="66">
                  <c:v>9</c:v>
                </c:pt>
                <c:pt idx="67">
                  <c:v>10</c:v>
                </c:pt>
                <c:pt idx="68">
                  <c:v>11</c:v>
                </c:pt>
                <c:pt idx="69">
                  <c:v>12</c:v>
                </c:pt>
                <c:pt idx="70">
                  <c:v>13</c:v>
                </c:pt>
                <c:pt idx="71">
                  <c:v>14</c:v>
                </c:pt>
                <c:pt idx="72">
                  <c:v>15</c:v>
                </c:pt>
                <c:pt idx="73">
                  <c:v>16</c:v>
                </c:pt>
                <c:pt idx="74">
                  <c:v>17</c:v>
                </c:pt>
                <c:pt idx="75">
                  <c:v>18</c:v>
                </c:pt>
                <c:pt idx="76">
                  <c:v>19</c:v>
                </c:pt>
                <c:pt idx="77">
                  <c:v>20</c:v>
                </c:pt>
                <c:pt idx="78">
                  <c:v>21</c:v>
                </c:pt>
                <c:pt idx="79">
                  <c:v>22</c:v>
                </c:pt>
                <c:pt idx="80">
                  <c:v>23</c:v>
                </c:pt>
                <c:pt idx="81">
                  <c:v>24</c:v>
                </c:pt>
                <c:pt idx="82">
                  <c:v>1</c:v>
                </c:pt>
                <c:pt idx="83">
                  <c:v>2</c:v>
                </c:pt>
                <c:pt idx="84">
                  <c:v>3</c:v>
                </c:pt>
                <c:pt idx="85">
                  <c:v>4</c:v>
                </c:pt>
                <c:pt idx="86">
                  <c:v>5</c:v>
                </c:pt>
                <c:pt idx="87">
                  <c:v>6</c:v>
                </c:pt>
                <c:pt idx="88">
                  <c:v>7</c:v>
                </c:pt>
                <c:pt idx="89">
                  <c:v>8</c:v>
                </c:pt>
                <c:pt idx="90">
                  <c:v>9</c:v>
                </c:pt>
                <c:pt idx="91">
                  <c:v>10</c:v>
                </c:pt>
                <c:pt idx="92">
                  <c:v>11</c:v>
                </c:pt>
                <c:pt idx="93">
                  <c:v>12</c:v>
                </c:pt>
                <c:pt idx="94">
                  <c:v>13</c:v>
                </c:pt>
                <c:pt idx="95">
                  <c:v>14</c:v>
                </c:pt>
                <c:pt idx="96">
                  <c:v>15</c:v>
                </c:pt>
                <c:pt idx="97">
                  <c:v>16</c:v>
                </c:pt>
                <c:pt idx="98">
                  <c:v>17</c:v>
                </c:pt>
                <c:pt idx="99">
                  <c:v>18</c:v>
                </c:pt>
                <c:pt idx="100">
                  <c:v>19</c:v>
                </c:pt>
                <c:pt idx="101">
                  <c:v>20</c:v>
                </c:pt>
                <c:pt idx="102">
                  <c:v>21</c:v>
                </c:pt>
                <c:pt idx="103">
                  <c:v>22</c:v>
                </c:pt>
                <c:pt idx="104">
                  <c:v>23</c:v>
                </c:pt>
                <c:pt idx="105">
                  <c:v>1</c:v>
                </c:pt>
                <c:pt idx="106">
                  <c:v>2</c:v>
                </c:pt>
                <c:pt idx="107">
                  <c:v>3</c:v>
                </c:pt>
                <c:pt idx="108">
                  <c:v>4</c:v>
                </c:pt>
                <c:pt idx="109">
                  <c:v>5</c:v>
                </c:pt>
                <c:pt idx="110">
                  <c:v>6</c:v>
                </c:pt>
                <c:pt idx="111">
                  <c:v>7</c:v>
                </c:pt>
                <c:pt idx="112">
                  <c:v>8</c:v>
                </c:pt>
                <c:pt idx="113">
                  <c:v>9</c:v>
                </c:pt>
                <c:pt idx="114">
                  <c:v>10</c:v>
                </c:pt>
                <c:pt idx="115">
                  <c:v>11</c:v>
                </c:pt>
                <c:pt idx="116">
                  <c:v>12</c:v>
                </c:pt>
                <c:pt idx="117">
                  <c:v>13</c:v>
                </c:pt>
                <c:pt idx="118">
                  <c:v>14</c:v>
                </c:pt>
                <c:pt idx="119">
                  <c:v>15</c:v>
                </c:pt>
                <c:pt idx="120">
                  <c:v>16</c:v>
                </c:pt>
                <c:pt idx="121">
                  <c:v>17</c:v>
                </c:pt>
                <c:pt idx="122">
                  <c:v>18</c:v>
                </c:pt>
                <c:pt idx="123">
                  <c:v>19</c:v>
                </c:pt>
                <c:pt idx="124">
                  <c:v>20</c:v>
                </c:pt>
                <c:pt idx="125">
                  <c:v>21</c:v>
                </c:pt>
                <c:pt idx="126">
                  <c:v>22</c:v>
                </c:pt>
                <c:pt idx="127">
                  <c:v>23</c:v>
                </c:pt>
                <c:pt idx="128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1F-4733-A3D5-B1DE8BCA62FB}"/>
            </c:ext>
          </c:extLst>
        </c:ser>
        <c:ser>
          <c:idx val="1"/>
          <c:order val="1"/>
          <c:tx>
            <c:strRef>
              <c:f>base_gantt!$D$1</c:f>
              <c:strCache>
                <c:ptCount val="1"/>
                <c:pt idx="0">
                  <c:v>Duracion</c:v>
                </c:pt>
              </c:strCache>
            </c:strRef>
          </c:tx>
          <c:spPr>
            <a:solidFill>
              <a:schemeClr val="accent2"/>
            </a:solidFill>
            <a:ln w="635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base_gantt!$A$2:$A$130</c:f>
              <c:strCache>
                <c:ptCount val="129"/>
                <c:pt idx="0">
                  <c:v>Efrain</c:v>
                </c:pt>
                <c:pt idx="1">
                  <c:v>Efrain</c:v>
                </c:pt>
                <c:pt idx="2">
                  <c:v>Efrain</c:v>
                </c:pt>
                <c:pt idx="3">
                  <c:v>Efrain</c:v>
                </c:pt>
                <c:pt idx="4">
                  <c:v>Efrain</c:v>
                </c:pt>
                <c:pt idx="5">
                  <c:v>Efrain</c:v>
                </c:pt>
                <c:pt idx="6">
                  <c:v>Efrain</c:v>
                </c:pt>
                <c:pt idx="7">
                  <c:v>Efrain</c:v>
                </c:pt>
                <c:pt idx="8">
                  <c:v>Efrain</c:v>
                </c:pt>
                <c:pt idx="9">
                  <c:v>Efrain</c:v>
                </c:pt>
                <c:pt idx="10">
                  <c:v>Efrain</c:v>
                </c:pt>
                <c:pt idx="11">
                  <c:v>Efrain</c:v>
                </c:pt>
                <c:pt idx="12">
                  <c:v>Efrain</c:v>
                </c:pt>
                <c:pt idx="13">
                  <c:v>Efrain</c:v>
                </c:pt>
                <c:pt idx="14">
                  <c:v>Fabian D.</c:v>
                </c:pt>
                <c:pt idx="15">
                  <c:v>Fabian D.</c:v>
                </c:pt>
                <c:pt idx="16">
                  <c:v>Fabian D.</c:v>
                </c:pt>
                <c:pt idx="17">
                  <c:v>Fabian D.</c:v>
                </c:pt>
                <c:pt idx="18">
                  <c:v>Fabian D.</c:v>
                </c:pt>
                <c:pt idx="19">
                  <c:v>Fabian D.</c:v>
                </c:pt>
                <c:pt idx="20">
                  <c:v>Fabian D.</c:v>
                </c:pt>
                <c:pt idx="21">
                  <c:v>Fabian D.</c:v>
                </c:pt>
                <c:pt idx="22">
                  <c:v>Fabian D.</c:v>
                </c:pt>
                <c:pt idx="23">
                  <c:v>Fabian D.</c:v>
                </c:pt>
                <c:pt idx="24">
                  <c:v>Fabian D.</c:v>
                </c:pt>
                <c:pt idx="25">
                  <c:v>Fabian D.</c:v>
                </c:pt>
                <c:pt idx="26">
                  <c:v>Fabian D.</c:v>
                </c:pt>
                <c:pt idx="27">
                  <c:v>Fabian D.</c:v>
                </c:pt>
                <c:pt idx="28">
                  <c:v>Fabian D.</c:v>
                </c:pt>
                <c:pt idx="29">
                  <c:v>Fabian D.</c:v>
                </c:pt>
                <c:pt idx="30">
                  <c:v>Fabian D.</c:v>
                </c:pt>
                <c:pt idx="31">
                  <c:v>Fabian D.</c:v>
                </c:pt>
                <c:pt idx="32">
                  <c:v>Fabian D.</c:v>
                </c:pt>
                <c:pt idx="33">
                  <c:v>Fabian D.</c:v>
                </c:pt>
                <c:pt idx="34">
                  <c:v>Fabian D.</c:v>
                </c:pt>
                <c:pt idx="35">
                  <c:v>Fabian D.</c:v>
                </c:pt>
                <c:pt idx="36">
                  <c:v>Fabian D.</c:v>
                </c:pt>
                <c:pt idx="37">
                  <c:v>Fabian D.</c:v>
                </c:pt>
                <c:pt idx="38">
                  <c:v>Jimmy</c:v>
                </c:pt>
                <c:pt idx="39">
                  <c:v>Jimmy</c:v>
                </c:pt>
                <c:pt idx="40">
                  <c:v>Jimmy</c:v>
                </c:pt>
                <c:pt idx="41">
                  <c:v>Jimmy</c:v>
                </c:pt>
                <c:pt idx="42">
                  <c:v>Jimmy</c:v>
                </c:pt>
                <c:pt idx="43">
                  <c:v>Jimmy</c:v>
                </c:pt>
                <c:pt idx="44">
                  <c:v>Jimmy</c:v>
                </c:pt>
                <c:pt idx="45">
                  <c:v>Jimmy</c:v>
                </c:pt>
                <c:pt idx="46">
                  <c:v>Jimmy</c:v>
                </c:pt>
                <c:pt idx="47">
                  <c:v>Jimmy</c:v>
                </c:pt>
                <c:pt idx="48">
                  <c:v>Jimmy</c:v>
                </c:pt>
                <c:pt idx="49">
                  <c:v>Jimmy</c:v>
                </c:pt>
                <c:pt idx="50">
                  <c:v>Jimmy</c:v>
                </c:pt>
                <c:pt idx="51">
                  <c:v>Jimmy</c:v>
                </c:pt>
                <c:pt idx="52">
                  <c:v>Jimmy</c:v>
                </c:pt>
                <c:pt idx="53">
                  <c:v>Jimmy</c:v>
                </c:pt>
                <c:pt idx="54">
                  <c:v>Jimmy</c:v>
                </c:pt>
                <c:pt idx="55">
                  <c:v>Jimmy</c:v>
                </c:pt>
                <c:pt idx="56">
                  <c:v>Jimmy</c:v>
                </c:pt>
                <c:pt idx="57">
                  <c:v>Jimmy</c:v>
                </c:pt>
                <c:pt idx="58">
                  <c:v>Luis</c:v>
                </c:pt>
                <c:pt idx="59">
                  <c:v>Luis</c:v>
                </c:pt>
                <c:pt idx="60">
                  <c:v>Luis</c:v>
                </c:pt>
                <c:pt idx="61">
                  <c:v>Luis</c:v>
                </c:pt>
                <c:pt idx="62">
                  <c:v>Luis</c:v>
                </c:pt>
                <c:pt idx="63">
                  <c:v>Luis</c:v>
                </c:pt>
                <c:pt idx="64">
                  <c:v>Luis</c:v>
                </c:pt>
                <c:pt idx="65">
                  <c:v>Luis</c:v>
                </c:pt>
                <c:pt idx="66">
                  <c:v>Luis</c:v>
                </c:pt>
                <c:pt idx="67">
                  <c:v>Luis</c:v>
                </c:pt>
                <c:pt idx="68">
                  <c:v>Luis</c:v>
                </c:pt>
                <c:pt idx="69">
                  <c:v>Luis</c:v>
                </c:pt>
                <c:pt idx="70">
                  <c:v>Luis</c:v>
                </c:pt>
                <c:pt idx="71">
                  <c:v>Luis</c:v>
                </c:pt>
                <c:pt idx="72">
                  <c:v>Luis</c:v>
                </c:pt>
                <c:pt idx="73">
                  <c:v>Luis</c:v>
                </c:pt>
                <c:pt idx="74">
                  <c:v>Luis</c:v>
                </c:pt>
                <c:pt idx="75">
                  <c:v>Luis</c:v>
                </c:pt>
                <c:pt idx="76">
                  <c:v>Luis</c:v>
                </c:pt>
                <c:pt idx="77">
                  <c:v>Luis</c:v>
                </c:pt>
                <c:pt idx="78">
                  <c:v>Luis</c:v>
                </c:pt>
                <c:pt idx="79">
                  <c:v>Luis</c:v>
                </c:pt>
                <c:pt idx="80">
                  <c:v>Luis</c:v>
                </c:pt>
                <c:pt idx="81">
                  <c:v>Luis</c:v>
                </c:pt>
                <c:pt idx="82">
                  <c:v>Orlando</c:v>
                </c:pt>
                <c:pt idx="83">
                  <c:v>Orlando</c:v>
                </c:pt>
                <c:pt idx="84">
                  <c:v>Orlando</c:v>
                </c:pt>
                <c:pt idx="85">
                  <c:v>Orlando</c:v>
                </c:pt>
                <c:pt idx="86">
                  <c:v>Orlando</c:v>
                </c:pt>
                <c:pt idx="87">
                  <c:v>Orlando</c:v>
                </c:pt>
                <c:pt idx="88">
                  <c:v>Orlando</c:v>
                </c:pt>
                <c:pt idx="89">
                  <c:v>Orlando</c:v>
                </c:pt>
                <c:pt idx="90">
                  <c:v>Orlando</c:v>
                </c:pt>
                <c:pt idx="91">
                  <c:v>Orlando</c:v>
                </c:pt>
                <c:pt idx="92">
                  <c:v>Orlando</c:v>
                </c:pt>
                <c:pt idx="93">
                  <c:v>Orlando</c:v>
                </c:pt>
                <c:pt idx="94">
                  <c:v>Orlando</c:v>
                </c:pt>
                <c:pt idx="95">
                  <c:v>Orlando</c:v>
                </c:pt>
                <c:pt idx="96">
                  <c:v>Orlando</c:v>
                </c:pt>
                <c:pt idx="97">
                  <c:v>Orlando</c:v>
                </c:pt>
                <c:pt idx="98">
                  <c:v>Orlando</c:v>
                </c:pt>
                <c:pt idx="99">
                  <c:v>Orlando</c:v>
                </c:pt>
                <c:pt idx="100">
                  <c:v>Orlando</c:v>
                </c:pt>
                <c:pt idx="101">
                  <c:v>Orlando</c:v>
                </c:pt>
                <c:pt idx="102">
                  <c:v>Orlando</c:v>
                </c:pt>
                <c:pt idx="103">
                  <c:v>Orlando</c:v>
                </c:pt>
                <c:pt idx="104">
                  <c:v>Orlando</c:v>
                </c:pt>
                <c:pt idx="105">
                  <c:v>Wilmer</c:v>
                </c:pt>
                <c:pt idx="106">
                  <c:v>Wilmer</c:v>
                </c:pt>
                <c:pt idx="107">
                  <c:v>Wilmer</c:v>
                </c:pt>
                <c:pt idx="108">
                  <c:v>Wilmer</c:v>
                </c:pt>
                <c:pt idx="109">
                  <c:v>Wilmer</c:v>
                </c:pt>
                <c:pt idx="110">
                  <c:v>Wilmer</c:v>
                </c:pt>
                <c:pt idx="111">
                  <c:v>Wilmer</c:v>
                </c:pt>
                <c:pt idx="112">
                  <c:v>Wilmer</c:v>
                </c:pt>
                <c:pt idx="113">
                  <c:v>Wilmer</c:v>
                </c:pt>
                <c:pt idx="114">
                  <c:v>Wilmer</c:v>
                </c:pt>
                <c:pt idx="115">
                  <c:v>Wilmer</c:v>
                </c:pt>
                <c:pt idx="116">
                  <c:v>Wilmer</c:v>
                </c:pt>
                <c:pt idx="117">
                  <c:v>Wilmer</c:v>
                </c:pt>
                <c:pt idx="118">
                  <c:v>Wilmer</c:v>
                </c:pt>
                <c:pt idx="119">
                  <c:v>Wilmer</c:v>
                </c:pt>
                <c:pt idx="120">
                  <c:v>Wilmer</c:v>
                </c:pt>
                <c:pt idx="121">
                  <c:v>Wilmer</c:v>
                </c:pt>
                <c:pt idx="122">
                  <c:v>Wilmer</c:v>
                </c:pt>
                <c:pt idx="123">
                  <c:v>Wilmer</c:v>
                </c:pt>
                <c:pt idx="124">
                  <c:v>Wilmer</c:v>
                </c:pt>
                <c:pt idx="125">
                  <c:v>Wilmer</c:v>
                </c:pt>
                <c:pt idx="126">
                  <c:v>Wilmer</c:v>
                </c:pt>
                <c:pt idx="127">
                  <c:v>Wilmer</c:v>
                </c:pt>
                <c:pt idx="128">
                  <c:v>Wilmer</c:v>
                </c:pt>
              </c:strCache>
            </c:strRef>
          </c:cat>
          <c:val>
            <c:numRef>
              <c:f>base_gantt!$D$2:$D$130</c:f>
              <c:numCache>
                <c:formatCode>General</c:formatCode>
                <c:ptCount val="129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8</c:v>
                </c:pt>
                <c:pt idx="7">
                  <c:v>7</c:v>
                </c:pt>
                <c:pt idx="8">
                  <c:v>6</c:v>
                </c:pt>
                <c:pt idx="9">
                  <c:v>5</c:v>
                </c:pt>
                <c:pt idx="10">
                  <c:v>4</c:v>
                </c:pt>
                <c:pt idx="11">
                  <c:v>3</c:v>
                </c:pt>
                <c:pt idx="12">
                  <c:v>2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10</c:v>
                </c:pt>
                <c:pt idx="17">
                  <c:v>9</c:v>
                </c:pt>
                <c:pt idx="18">
                  <c:v>8</c:v>
                </c:pt>
                <c:pt idx="19">
                  <c:v>7</c:v>
                </c:pt>
                <c:pt idx="20">
                  <c:v>6</c:v>
                </c:pt>
                <c:pt idx="21">
                  <c:v>5</c:v>
                </c:pt>
                <c:pt idx="22">
                  <c:v>4</c:v>
                </c:pt>
                <c:pt idx="23">
                  <c:v>3</c:v>
                </c:pt>
                <c:pt idx="24">
                  <c:v>2</c:v>
                </c:pt>
                <c:pt idx="25">
                  <c:v>1</c:v>
                </c:pt>
                <c:pt idx="26">
                  <c:v>12</c:v>
                </c:pt>
                <c:pt idx="27">
                  <c:v>11</c:v>
                </c:pt>
                <c:pt idx="28">
                  <c:v>10</c:v>
                </c:pt>
                <c:pt idx="29">
                  <c:v>9</c:v>
                </c:pt>
                <c:pt idx="30">
                  <c:v>8</c:v>
                </c:pt>
                <c:pt idx="31">
                  <c:v>7</c:v>
                </c:pt>
                <c:pt idx="32">
                  <c:v>6</c:v>
                </c:pt>
                <c:pt idx="33">
                  <c:v>5</c:v>
                </c:pt>
                <c:pt idx="34">
                  <c:v>4</c:v>
                </c:pt>
                <c:pt idx="35">
                  <c:v>3</c:v>
                </c:pt>
                <c:pt idx="36">
                  <c:v>2</c:v>
                </c:pt>
                <c:pt idx="37">
                  <c:v>1</c:v>
                </c:pt>
                <c:pt idx="38">
                  <c:v>2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5</c:v>
                </c:pt>
                <c:pt idx="43">
                  <c:v>4</c:v>
                </c:pt>
                <c:pt idx="44">
                  <c:v>3</c:v>
                </c:pt>
                <c:pt idx="45">
                  <c:v>2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9</c:v>
                </c:pt>
                <c:pt idx="50">
                  <c:v>8</c:v>
                </c:pt>
                <c:pt idx="51">
                  <c:v>7</c:v>
                </c:pt>
                <c:pt idx="52">
                  <c:v>6</c:v>
                </c:pt>
                <c:pt idx="53">
                  <c:v>5</c:v>
                </c:pt>
                <c:pt idx="54">
                  <c:v>4</c:v>
                </c:pt>
                <c:pt idx="55">
                  <c:v>3</c:v>
                </c:pt>
                <c:pt idx="56">
                  <c:v>2</c:v>
                </c:pt>
                <c:pt idx="57">
                  <c:v>1</c:v>
                </c:pt>
                <c:pt idx="58">
                  <c:v>18</c:v>
                </c:pt>
                <c:pt idx="59">
                  <c:v>17</c:v>
                </c:pt>
                <c:pt idx="60">
                  <c:v>16</c:v>
                </c:pt>
                <c:pt idx="61">
                  <c:v>15</c:v>
                </c:pt>
                <c:pt idx="62">
                  <c:v>14</c:v>
                </c:pt>
                <c:pt idx="63">
                  <c:v>13</c:v>
                </c:pt>
                <c:pt idx="64">
                  <c:v>12</c:v>
                </c:pt>
                <c:pt idx="65">
                  <c:v>11</c:v>
                </c:pt>
                <c:pt idx="66">
                  <c:v>10</c:v>
                </c:pt>
                <c:pt idx="67">
                  <c:v>9</c:v>
                </c:pt>
                <c:pt idx="68">
                  <c:v>8</c:v>
                </c:pt>
                <c:pt idx="69">
                  <c:v>7</c:v>
                </c:pt>
                <c:pt idx="70">
                  <c:v>6</c:v>
                </c:pt>
                <c:pt idx="71">
                  <c:v>5</c:v>
                </c:pt>
                <c:pt idx="72">
                  <c:v>4</c:v>
                </c:pt>
                <c:pt idx="73">
                  <c:v>3</c:v>
                </c:pt>
                <c:pt idx="74">
                  <c:v>2</c:v>
                </c:pt>
                <c:pt idx="75">
                  <c:v>1</c:v>
                </c:pt>
                <c:pt idx="76">
                  <c:v>1</c:v>
                </c:pt>
                <c:pt idx="77">
                  <c:v>2</c:v>
                </c:pt>
                <c:pt idx="78">
                  <c:v>1</c:v>
                </c:pt>
                <c:pt idx="79">
                  <c:v>3</c:v>
                </c:pt>
                <c:pt idx="80">
                  <c:v>2</c:v>
                </c:pt>
                <c:pt idx="81">
                  <c:v>1</c:v>
                </c:pt>
                <c:pt idx="82">
                  <c:v>15</c:v>
                </c:pt>
                <c:pt idx="83">
                  <c:v>14</c:v>
                </c:pt>
                <c:pt idx="84">
                  <c:v>13</c:v>
                </c:pt>
                <c:pt idx="85">
                  <c:v>12</c:v>
                </c:pt>
                <c:pt idx="86">
                  <c:v>11</c:v>
                </c:pt>
                <c:pt idx="87">
                  <c:v>10</c:v>
                </c:pt>
                <c:pt idx="88">
                  <c:v>9</c:v>
                </c:pt>
                <c:pt idx="89">
                  <c:v>8</c:v>
                </c:pt>
                <c:pt idx="90">
                  <c:v>7</c:v>
                </c:pt>
                <c:pt idx="91">
                  <c:v>6</c:v>
                </c:pt>
                <c:pt idx="92">
                  <c:v>5</c:v>
                </c:pt>
                <c:pt idx="93">
                  <c:v>4</c:v>
                </c:pt>
                <c:pt idx="94">
                  <c:v>3</c:v>
                </c:pt>
                <c:pt idx="95">
                  <c:v>2</c:v>
                </c:pt>
                <c:pt idx="96">
                  <c:v>1</c:v>
                </c:pt>
                <c:pt idx="97">
                  <c:v>4</c:v>
                </c:pt>
                <c:pt idx="98">
                  <c:v>3</c:v>
                </c:pt>
                <c:pt idx="99">
                  <c:v>2</c:v>
                </c:pt>
                <c:pt idx="100">
                  <c:v>1</c:v>
                </c:pt>
                <c:pt idx="101">
                  <c:v>4</c:v>
                </c:pt>
                <c:pt idx="102">
                  <c:v>3</c:v>
                </c:pt>
                <c:pt idx="103">
                  <c:v>2</c:v>
                </c:pt>
                <c:pt idx="104">
                  <c:v>1</c:v>
                </c:pt>
                <c:pt idx="105">
                  <c:v>1</c:v>
                </c:pt>
                <c:pt idx="106">
                  <c:v>11</c:v>
                </c:pt>
                <c:pt idx="107">
                  <c:v>10</c:v>
                </c:pt>
                <c:pt idx="108">
                  <c:v>9</c:v>
                </c:pt>
                <c:pt idx="109">
                  <c:v>8</c:v>
                </c:pt>
                <c:pt idx="110">
                  <c:v>7</c:v>
                </c:pt>
                <c:pt idx="111">
                  <c:v>6</c:v>
                </c:pt>
                <c:pt idx="112">
                  <c:v>5</c:v>
                </c:pt>
                <c:pt idx="113">
                  <c:v>4</c:v>
                </c:pt>
                <c:pt idx="114">
                  <c:v>3</c:v>
                </c:pt>
                <c:pt idx="115">
                  <c:v>2</c:v>
                </c:pt>
                <c:pt idx="116">
                  <c:v>1</c:v>
                </c:pt>
                <c:pt idx="117">
                  <c:v>5</c:v>
                </c:pt>
                <c:pt idx="118">
                  <c:v>4</c:v>
                </c:pt>
                <c:pt idx="119">
                  <c:v>3</c:v>
                </c:pt>
                <c:pt idx="120">
                  <c:v>2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5</c:v>
                </c:pt>
                <c:pt idx="125">
                  <c:v>4</c:v>
                </c:pt>
                <c:pt idx="126">
                  <c:v>3</c:v>
                </c:pt>
                <c:pt idx="127">
                  <c:v>2</c:v>
                </c:pt>
                <c:pt idx="12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1F-4733-A3D5-B1DE8BCA6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90088671"/>
        <c:axId val="2090093471"/>
      </c:barChart>
      <c:catAx>
        <c:axId val="2090088671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090093471"/>
        <c:crosses val="autoZero"/>
        <c:auto val="1"/>
        <c:lblAlgn val="ctr"/>
        <c:lblOffset val="100"/>
        <c:noMultiLvlLbl val="0"/>
      </c:catAx>
      <c:valAx>
        <c:axId val="2090093471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09008867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604837</xdr:colOff>
      <xdr:row>1</xdr:row>
      <xdr:rowOff>142875</xdr:rowOff>
    </xdr:from>
    <xdr:to>
      <xdr:col>16</xdr:col>
      <xdr:colOff>274759</xdr:colOff>
      <xdr:row>27</xdr:row>
      <xdr:rowOff>66675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EB14F00-EB9E-91EC-4DF8-40ABE511EC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"/>
  <sheetViews>
    <sheetView tabSelected="1" topLeftCell="C1" workbookViewId="0">
      <selection activeCell="G17" sqref="G17"/>
    </sheetView>
  </sheetViews>
  <sheetFormatPr baseColWidth="10" defaultColWidth="9.06640625" defaultRowHeight="14.25" x14ac:dyDescent="0.45"/>
  <cols>
    <col min="1" max="1" width="20.9296875" bestFit="1" customWidth="1"/>
    <col min="2" max="2" width="11.86328125" bestFit="1" customWidth="1"/>
    <col min="3" max="3" width="11.73046875" bestFit="1" customWidth="1"/>
    <col min="4" max="4" width="14.3984375" bestFit="1" customWidth="1"/>
    <col min="5" max="5" width="14.73046875" bestFit="1" customWidth="1"/>
    <col min="6" max="6" width="16.3984375" bestFit="1" customWidth="1"/>
    <col min="7" max="7" width="18.9296875" bestFit="1" customWidth="1"/>
    <col min="8" max="8" width="19.265625" bestFit="1" customWidth="1"/>
    <col min="9" max="9" width="11.73046875" bestFit="1" customWidth="1"/>
    <col min="10" max="11" width="10.9296875" bestFit="1" customWidth="1"/>
    <col min="12" max="12" width="10.19921875" bestFit="1" customWidth="1"/>
    <col min="13" max="13" width="13.33203125" bestFit="1" customWidth="1"/>
    <col min="14" max="14" width="11.73046875" bestFit="1" customWidth="1"/>
    <col min="15" max="15" width="15.86328125" bestFit="1" customWidth="1"/>
    <col min="16" max="16" width="14.73046875" bestFit="1" customWidth="1"/>
    <col min="17" max="17" width="11.796875" bestFit="1" customWidth="1"/>
  </cols>
  <sheetData>
    <row r="1" spans="1:17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45">
      <c r="A2">
        <v>3443.2603037974691</v>
      </c>
      <c r="B2">
        <v>1769.187726202535</v>
      </c>
      <c r="C2">
        <v>1674.072577594934</v>
      </c>
      <c r="D2">
        <v>22</v>
      </c>
      <c r="E2">
        <v>8</v>
      </c>
      <c r="F2">
        <v>191</v>
      </c>
      <c r="G2">
        <v>191</v>
      </c>
      <c r="H2">
        <v>0</v>
      </c>
      <c r="I2">
        <v>102.21809012658559</v>
      </c>
      <c r="J2">
        <v>111.1</v>
      </c>
      <c r="K2">
        <v>64.5</v>
      </c>
      <c r="L2">
        <v>98.279999999999987</v>
      </c>
      <c r="M2">
        <v>55.308750000000003</v>
      </c>
      <c r="N2">
        <v>14.88088607594937</v>
      </c>
      <c r="O2">
        <v>59.9</v>
      </c>
      <c r="P2">
        <v>1263</v>
      </c>
      <c r="Q2">
        <v>1769.187726202535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32"/>
  <sheetViews>
    <sheetView workbookViewId="0">
      <selection activeCell="A13" sqref="A13:A32"/>
    </sheetView>
  </sheetViews>
  <sheetFormatPr baseColWidth="10" defaultColWidth="9.06640625" defaultRowHeight="14.25" x14ac:dyDescent="0.45"/>
  <cols>
    <col min="1" max="1" width="13.265625" bestFit="1" customWidth="1"/>
    <col min="2" max="2" width="12.86328125" bestFit="1" customWidth="1"/>
    <col min="3" max="3" width="15.06640625" bestFit="1" customWidth="1"/>
    <col min="4" max="4" width="11.73046875" bestFit="1" customWidth="1"/>
    <col min="5" max="5" width="10.6640625" bestFit="1" customWidth="1"/>
    <col min="6" max="6" width="10.73046875" bestFit="1" customWidth="1"/>
    <col min="7" max="7" width="10.06640625" bestFit="1" customWidth="1"/>
    <col min="8" max="8" width="13.19921875" bestFit="1" customWidth="1"/>
    <col min="9" max="9" width="11.73046875" bestFit="1" customWidth="1"/>
    <col min="10" max="10" width="15.46484375" bestFit="1" customWidth="1"/>
    <col min="11" max="11" width="14.46484375" bestFit="1" customWidth="1"/>
    <col min="12" max="12" width="12.6640625" bestFit="1" customWidth="1"/>
    <col min="13" max="13" width="19.73046875" bestFit="1" customWidth="1"/>
    <col min="14" max="14" width="18.796875" bestFit="1" customWidth="1"/>
    <col min="15" max="15" width="15.6640625" bestFit="1" customWidth="1"/>
    <col min="16" max="16" width="11.73046875" bestFit="1" customWidth="1"/>
    <col min="17" max="17" width="15.19921875" bestFit="1" customWidth="1"/>
  </cols>
  <sheetData>
    <row r="1" spans="1:17" x14ac:dyDescent="0.45">
      <c r="A1" s="1" t="s">
        <v>17</v>
      </c>
      <c r="B1" s="1" t="s">
        <v>18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25</v>
      </c>
      <c r="J1" s="1" t="s">
        <v>26</v>
      </c>
      <c r="K1" s="1" t="s">
        <v>27</v>
      </c>
      <c r="L1" s="1" t="s">
        <v>28</v>
      </c>
      <c r="M1" s="1" t="s">
        <v>29</v>
      </c>
      <c r="N1" s="1" t="s">
        <v>30</v>
      </c>
      <c r="O1" s="1" t="s">
        <v>31</v>
      </c>
      <c r="P1" s="1" t="s">
        <v>32</v>
      </c>
      <c r="Q1" s="1" t="s">
        <v>33</v>
      </c>
    </row>
    <row r="2" spans="1:17" hidden="1" x14ac:dyDescent="0.45">
      <c r="A2" t="s">
        <v>34</v>
      </c>
      <c r="B2" t="s">
        <v>35</v>
      </c>
      <c r="C2" t="s">
        <v>36</v>
      </c>
      <c r="D2">
        <v>0</v>
      </c>
      <c r="E2">
        <v>0</v>
      </c>
      <c r="F2">
        <v>14</v>
      </c>
      <c r="G2">
        <v>22.92</v>
      </c>
      <c r="H2">
        <v>12.005000000000001</v>
      </c>
      <c r="I2">
        <v>0</v>
      </c>
      <c r="J2">
        <v>0</v>
      </c>
      <c r="K2">
        <v>286.5</v>
      </c>
      <c r="L2">
        <v>191</v>
      </c>
      <c r="M2">
        <v>143.25</v>
      </c>
      <c r="N2">
        <v>143.25</v>
      </c>
      <c r="O2">
        <v>191</v>
      </c>
      <c r="P2">
        <v>335.42500000000001</v>
      </c>
      <c r="Q2">
        <v>0</v>
      </c>
    </row>
    <row r="3" spans="1:17" hidden="1" x14ac:dyDescent="0.45">
      <c r="A3" t="s">
        <v>37</v>
      </c>
      <c r="B3" t="s">
        <v>38</v>
      </c>
      <c r="C3" t="s">
        <v>39</v>
      </c>
      <c r="D3">
        <v>3.824395949367088</v>
      </c>
      <c r="E3">
        <v>19.8</v>
      </c>
      <c r="F3">
        <v>9</v>
      </c>
      <c r="G3">
        <v>15.12</v>
      </c>
      <c r="H3">
        <v>7.7174999999999994</v>
      </c>
      <c r="I3">
        <v>0</v>
      </c>
      <c r="J3">
        <v>0</v>
      </c>
      <c r="K3">
        <v>189</v>
      </c>
      <c r="L3">
        <v>126</v>
      </c>
      <c r="M3">
        <v>94.5</v>
      </c>
      <c r="N3">
        <v>94.5</v>
      </c>
      <c r="O3">
        <v>126</v>
      </c>
      <c r="P3">
        <v>244.46189594936709</v>
      </c>
    </row>
    <row r="4" spans="1:17" hidden="1" x14ac:dyDescent="0.45">
      <c r="A4" t="s">
        <v>40</v>
      </c>
      <c r="B4" t="s">
        <v>38</v>
      </c>
      <c r="C4" t="s">
        <v>41</v>
      </c>
      <c r="D4">
        <v>7.8677115189873419</v>
      </c>
      <c r="E4">
        <v>16.5</v>
      </c>
      <c r="F4">
        <v>7.5</v>
      </c>
      <c r="G4">
        <v>12.36</v>
      </c>
      <c r="H4">
        <v>6.4312499999999986</v>
      </c>
      <c r="I4">
        <v>0.35356962025316457</v>
      </c>
      <c r="J4">
        <v>0</v>
      </c>
      <c r="K4">
        <v>154.5</v>
      </c>
      <c r="L4">
        <v>103</v>
      </c>
      <c r="M4">
        <v>77.25</v>
      </c>
      <c r="N4">
        <v>77.25</v>
      </c>
      <c r="O4">
        <v>103</v>
      </c>
      <c r="P4">
        <v>205.51253113924051</v>
      </c>
    </row>
    <row r="5" spans="1:17" hidden="1" x14ac:dyDescent="0.45">
      <c r="A5" t="s">
        <v>42</v>
      </c>
      <c r="B5" t="s">
        <v>38</v>
      </c>
      <c r="C5" t="s">
        <v>43</v>
      </c>
      <c r="D5">
        <v>3.8147430379746829</v>
      </c>
      <c r="E5">
        <v>12.1</v>
      </c>
      <c r="F5">
        <v>5.5</v>
      </c>
      <c r="G5">
        <v>8.52</v>
      </c>
      <c r="H5">
        <v>4.7162499999999996</v>
      </c>
      <c r="I5">
        <v>0</v>
      </c>
      <c r="J5">
        <v>0</v>
      </c>
      <c r="K5">
        <v>106.5</v>
      </c>
      <c r="L5">
        <v>71</v>
      </c>
      <c r="M5">
        <v>53.25</v>
      </c>
      <c r="N5">
        <v>53.25</v>
      </c>
      <c r="O5">
        <v>71</v>
      </c>
      <c r="P5">
        <v>141.1509930379747</v>
      </c>
    </row>
    <row r="6" spans="1:17" hidden="1" x14ac:dyDescent="0.45">
      <c r="A6" t="s">
        <v>44</v>
      </c>
      <c r="B6" t="s">
        <v>38</v>
      </c>
      <c r="C6" t="s">
        <v>45</v>
      </c>
      <c r="D6">
        <v>9.5575525316455678</v>
      </c>
      <c r="E6">
        <v>11</v>
      </c>
      <c r="F6">
        <v>5</v>
      </c>
      <c r="G6">
        <v>7.68</v>
      </c>
      <c r="H6">
        <v>4.2874999999999996</v>
      </c>
      <c r="I6">
        <v>0</v>
      </c>
      <c r="J6">
        <v>0</v>
      </c>
      <c r="K6">
        <v>96</v>
      </c>
      <c r="L6">
        <v>64</v>
      </c>
      <c r="M6">
        <v>48</v>
      </c>
      <c r="N6">
        <v>48</v>
      </c>
      <c r="O6">
        <v>64</v>
      </c>
      <c r="P6">
        <v>133.5250525316456</v>
      </c>
    </row>
    <row r="7" spans="1:17" hidden="1" x14ac:dyDescent="0.45">
      <c r="A7" t="s">
        <v>46</v>
      </c>
      <c r="B7" t="s">
        <v>38</v>
      </c>
      <c r="C7" t="s">
        <v>47</v>
      </c>
      <c r="D7">
        <v>3.3565537974683539</v>
      </c>
      <c r="E7">
        <v>9.9</v>
      </c>
      <c r="F7">
        <v>4.5</v>
      </c>
      <c r="G7">
        <v>7.3199999999999994</v>
      </c>
      <c r="H7">
        <v>3.8587500000000001</v>
      </c>
      <c r="I7">
        <v>0.41706329113924051</v>
      </c>
      <c r="J7">
        <v>0</v>
      </c>
      <c r="K7">
        <v>91.5</v>
      </c>
      <c r="L7">
        <v>61</v>
      </c>
      <c r="M7">
        <v>45.75</v>
      </c>
      <c r="N7">
        <v>45.75</v>
      </c>
      <c r="O7">
        <v>61</v>
      </c>
      <c r="P7">
        <v>120.85236708860759</v>
      </c>
    </row>
    <row r="8" spans="1:17" hidden="1" x14ac:dyDescent="0.45">
      <c r="A8" t="s">
        <v>48</v>
      </c>
      <c r="B8" t="s">
        <v>38</v>
      </c>
      <c r="C8" t="s">
        <v>47</v>
      </c>
      <c r="D8">
        <v>4.3140521518987338</v>
      </c>
      <c r="E8">
        <v>5.5</v>
      </c>
      <c r="F8">
        <v>2.5</v>
      </c>
      <c r="G8">
        <v>4.2</v>
      </c>
      <c r="H8">
        <v>2.1437499999999998</v>
      </c>
      <c r="I8">
        <v>0.39508860759493669</v>
      </c>
      <c r="J8">
        <v>0</v>
      </c>
      <c r="K8">
        <v>52.5</v>
      </c>
      <c r="L8">
        <v>35</v>
      </c>
      <c r="M8">
        <v>26.25</v>
      </c>
      <c r="N8">
        <v>26.25</v>
      </c>
      <c r="O8">
        <v>35</v>
      </c>
      <c r="P8">
        <v>71.552890759493664</v>
      </c>
    </row>
    <row r="9" spans="1:17" hidden="1" x14ac:dyDescent="0.45">
      <c r="A9" t="s">
        <v>49</v>
      </c>
      <c r="B9" t="s">
        <v>38</v>
      </c>
      <c r="C9" t="s">
        <v>43</v>
      </c>
      <c r="D9">
        <v>0.75926215189873414</v>
      </c>
      <c r="E9">
        <v>5.5</v>
      </c>
      <c r="F9">
        <v>2.5</v>
      </c>
      <c r="G9">
        <v>4.2</v>
      </c>
      <c r="H9">
        <v>2.1437499999999998</v>
      </c>
      <c r="I9">
        <v>0</v>
      </c>
      <c r="J9">
        <v>0</v>
      </c>
      <c r="K9">
        <v>52.5</v>
      </c>
      <c r="L9">
        <v>35</v>
      </c>
      <c r="M9">
        <v>26.25</v>
      </c>
      <c r="N9">
        <v>26.25</v>
      </c>
      <c r="O9">
        <v>35</v>
      </c>
      <c r="P9">
        <v>67.603012151898739</v>
      </c>
    </row>
    <row r="10" spans="1:17" hidden="1" x14ac:dyDescent="0.45">
      <c r="A10" t="s">
        <v>50</v>
      </c>
      <c r="B10" t="s">
        <v>38</v>
      </c>
      <c r="C10" t="s">
        <v>51</v>
      </c>
      <c r="D10">
        <v>2.1000000000033299</v>
      </c>
      <c r="E10">
        <v>5.5</v>
      </c>
      <c r="F10">
        <v>2.5</v>
      </c>
      <c r="G10">
        <v>3.36</v>
      </c>
      <c r="H10">
        <v>2.1437499999999998</v>
      </c>
      <c r="I10">
        <v>1.6867594936708861</v>
      </c>
      <c r="J10">
        <v>0</v>
      </c>
      <c r="K10">
        <v>42</v>
      </c>
      <c r="L10">
        <v>28</v>
      </c>
      <c r="M10">
        <v>21</v>
      </c>
      <c r="N10">
        <v>21</v>
      </c>
      <c r="O10">
        <v>28</v>
      </c>
      <c r="P10">
        <v>59.290509493674222</v>
      </c>
    </row>
    <row r="11" spans="1:17" hidden="1" x14ac:dyDescent="0.45">
      <c r="A11" t="s">
        <v>52</v>
      </c>
      <c r="B11" t="s">
        <v>38</v>
      </c>
      <c r="C11" t="s">
        <v>41</v>
      </c>
      <c r="D11">
        <v>14.3384817721519</v>
      </c>
      <c r="E11">
        <v>4.4000000000000004</v>
      </c>
      <c r="F11">
        <v>2</v>
      </c>
      <c r="G11">
        <v>2.64</v>
      </c>
      <c r="H11">
        <v>1.7150000000000001</v>
      </c>
      <c r="I11">
        <v>0.37516455696202528</v>
      </c>
      <c r="J11">
        <v>0</v>
      </c>
      <c r="K11">
        <v>33</v>
      </c>
      <c r="L11">
        <v>22</v>
      </c>
      <c r="M11">
        <v>16.5</v>
      </c>
      <c r="N11">
        <v>16.5</v>
      </c>
      <c r="O11">
        <v>22</v>
      </c>
      <c r="P11">
        <v>58.468646329113923</v>
      </c>
    </row>
    <row r="12" spans="1:17" hidden="1" x14ac:dyDescent="0.45">
      <c r="A12" t="s">
        <v>53</v>
      </c>
      <c r="B12" t="s">
        <v>38</v>
      </c>
      <c r="C12" t="s">
        <v>41</v>
      </c>
      <c r="D12">
        <v>2.02189</v>
      </c>
      <c r="E12">
        <v>4.4000000000000004</v>
      </c>
      <c r="F12">
        <v>2</v>
      </c>
      <c r="G12">
        <v>2.64</v>
      </c>
      <c r="H12">
        <v>1.7150000000000001</v>
      </c>
      <c r="I12">
        <v>1.2976708860759489</v>
      </c>
      <c r="J12">
        <v>0</v>
      </c>
      <c r="K12">
        <v>33</v>
      </c>
      <c r="L12">
        <v>22</v>
      </c>
      <c r="M12">
        <v>16.5</v>
      </c>
      <c r="N12">
        <v>16.5</v>
      </c>
      <c r="O12">
        <v>22</v>
      </c>
      <c r="P12">
        <v>47.074560886075943</v>
      </c>
    </row>
    <row r="13" spans="1:17" x14ac:dyDescent="0.45">
      <c r="A13" t="s">
        <v>54</v>
      </c>
      <c r="B13" t="s">
        <v>55</v>
      </c>
      <c r="C13" t="s">
        <v>54</v>
      </c>
      <c r="D13">
        <v>0</v>
      </c>
      <c r="E13">
        <v>0</v>
      </c>
      <c r="F13">
        <v>0</v>
      </c>
      <c r="G13">
        <v>0</v>
      </c>
      <c r="H13">
        <v>0</v>
      </c>
      <c r="I13">
        <v>1.6867594936708861</v>
      </c>
      <c r="J13">
        <v>30</v>
      </c>
      <c r="K13">
        <v>15</v>
      </c>
      <c r="L13">
        <v>10</v>
      </c>
      <c r="M13">
        <v>7.5</v>
      </c>
      <c r="P13">
        <v>46.686759493670891</v>
      </c>
    </row>
    <row r="14" spans="1:17" hidden="1" x14ac:dyDescent="0.45">
      <c r="A14" t="s">
        <v>56</v>
      </c>
      <c r="B14" t="s">
        <v>38</v>
      </c>
      <c r="C14" t="s">
        <v>39</v>
      </c>
      <c r="D14">
        <v>2.5778693670886081</v>
      </c>
      <c r="E14">
        <v>2.2000000000000002</v>
      </c>
      <c r="F14">
        <v>1</v>
      </c>
      <c r="G14">
        <v>1.68</v>
      </c>
      <c r="H14">
        <v>0.85749999999999993</v>
      </c>
      <c r="I14">
        <v>0</v>
      </c>
      <c r="J14">
        <v>0</v>
      </c>
      <c r="K14">
        <v>21</v>
      </c>
      <c r="L14">
        <v>14</v>
      </c>
      <c r="M14">
        <v>10.5</v>
      </c>
      <c r="N14">
        <v>10.5</v>
      </c>
      <c r="O14">
        <v>14</v>
      </c>
      <c r="P14">
        <v>29.315369367088611</v>
      </c>
    </row>
    <row r="15" spans="1:17" hidden="1" x14ac:dyDescent="0.45">
      <c r="A15" t="s">
        <v>57</v>
      </c>
      <c r="B15" t="s">
        <v>38</v>
      </c>
      <c r="C15" t="s">
        <v>45</v>
      </c>
      <c r="D15">
        <v>1.5841099999999999</v>
      </c>
      <c r="E15">
        <v>2.2000000000000002</v>
      </c>
      <c r="F15">
        <v>1</v>
      </c>
      <c r="G15">
        <v>1.44</v>
      </c>
      <c r="H15">
        <v>0.85749999999999993</v>
      </c>
      <c r="I15">
        <v>1.6867594936708861</v>
      </c>
      <c r="J15">
        <v>0</v>
      </c>
      <c r="K15">
        <v>18</v>
      </c>
      <c r="L15">
        <v>12</v>
      </c>
      <c r="M15">
        <v>9</v>
      </c>
      <c r="N15">
        <v>9</v>
      </c>
      <c r="O15">
        <v>12</v>
      </c>
      <c r="P15">
        <v>26.768369493670889</v>
      </c>
    </row>
    <row r="16" spans="1:17" hidden="1" x14ac:dyDescent="0.45">
      <c r="A16" t="s">
        <v>58</v>
      </c>
      <c r="B16" t="s">
        <v>38</v>
      </c>
      <c r="C16" t="s">
        <v>47</v>
      </c>
      <c r="D16">
        <v>3.0314620253164559</v>
      </c>
      <c r="E16">
        <v>2.2000000000000002</v>
      </c>
      <c r="F16">
        <v>1</v>
      </c>
      <c r="G16">
        <v>1.08</v>
      </c>
      <c r="H16">
        <v>0.85749999999999993</v>
      </c>
      <c r="I16">
        <v>0.35898734177215191</v>
      </c>
      <c r="J16">
        <v>0</v>
      </c>
      <c r="K16">
        <v>13.5</v>
      </c>
      <c r="L16">
        <v>9</v>
      </c>
      <c r="M16">
        <v>6.75</v>
      </c>
      <c r="N16">
        <v>6.75</v>
      </c>
      <c r="O16">
        <v>9</v>
      </c>
      <c r="P16">
        <v>22.02794936708861</v>
      </c>
    </row>
    <row r="17" spans="1:16" x14ac:dyDescent="0.45">
      <c r="A17" t="s">
        <v>59</v>
      </c>
      <c r="B17" t="s">
        <v>55</v>
      </c>
      <c r="C17" t="s">
        <v>59</v>
      </c>
      <c r="D17">
        <v>0</v>
      </c>
      <c r="E17">
        <v>0</v>
      </c>
      <c r="F17">
        <v>0</v>
      </c>
      <c r="G17">
        <v>0</v>
      </c>
      <c r="H17">
        <v>0</v>
      </c>
      <c r="I17">
        <v>1.5350379746835441</v>
      </c>
      <c r="J17">
        <v>10</v>
      </c>
      <c r="K17">
        <v>6</v>
      </c>
      <c r="L17">
        <v>4</v>
      </c>
      <c r="M17">
        <v>3</v>
      </c>
      <c r="P17">
        <v>17.53503797468354</v>
      </c>
    </row>
    <row r="18" spans="1:16" hidden="1" x14ac:dyDescent="0.45">
      <c r="A18" t="s">
        <v>60</v>
      </c>
      <c r="B18" t="s">
        <v>38</v>
      </c>
      <c r="C18" t="s">
        <v>39</v>
      </c>
      <c r="D18">
        <v>11.2928746835443</v>
      </c>
      <c r="E18">
        <v>1.1000000000000001</v>
      </c>
      <c r="F18">
        <v>0.5</v>
      </c>
      <c r="G18">
        <v>0.12</v>
      </c>
      <c r="H18">
        <v>0.42875000000000002</v>
      </c>
      <c r="I18">
        <v>0</v>
      </c>
      <c r="J18">
        <v>0</v>
      </c>
      <c r="K18">
        <v>1.5</v>
      </c>
      <c r="L18">
        <v>1</v>
      </c>
      <c r="M18">
        <v>0.75</v>
      </c>
      <c r="N18">
        <v>0.75</v>
      </c>
      <c r="O18">
        <v>1</v>
      </c>
      <c r="P18">
        <v>14.941624683544299</v>
      </c>
    </row>
    <row r="19" spans="1:16" hidden="1" x14ac:dyDescent="0.45">
      <c r="A19" t="s">
        <v>61</v>
      </c>
      <c r="B19" t="s">
        <v>38</v>
      </c>
      <c r="C19" t="s">
        <v>51</v>
      </c>
      <c r="D19">
        <v>7.6461670886075952</v>
      </c>
      <c r="E19">
        <v>1.1000000000000001</v>
      </c>
      <c r="F19">
        <v>0.5</v>
      </c>
      <c r="G19">
        <v>0.36</v>
      </c>
      <c r="H19">
        <v>0.42875000000000002</v>
      </c>
      <c r="I19">
        <v>0</v>
      </c>
      <c r="J19">
        <v>0</v>
      </c>
      <c r="K19">
        <v>4.5</v>
      </c>
      <c r="L19">
        <v>3</v>
      </c>
      <c r="M19">
        <v>2.25</v>
      </c>
      <c r="N19">
        <v>2.25</v>
      </c>
      <c r="O19">
        <v>3</v>
      </c>
      <c r="P19">
        <v>14.5349170886076</v>
      </c>
    </row>
    <row r="20" spans="1:16" hidden="1" x14ac:dyDescent="0.45">
      <c r="A20" t="s">
        <v>62</v>
      </c>
      <c r="B20" t="s">
        <v>38</v>
      </c>
      <c r="C20" t="s">
        <v>43</v>
      </c>
      <c r="D20">
        <v>1.6795472151898729</v>
      </c>
      <c r="E20">
        <v>1.1000000000000001</v>
      </c>
      <c r="F20">
        <v>0.5</v>
      </c>
      <c r="G20">
        <v>0.72</v>
      </c>
      <c r="H20">
        <v>0.42875000000000002</v>
      </c>
      <c r="I20">
        <v>0</v>
      </c>
      <c r="J20">
        <v>0</v>
      </c>
      <c r="K20">
        <v>9</v>
      </c>
      <c r="L20">
        <v>6</v>
      </c>
      <c r="M20">
        <v>4.5</v>
      </c>
      <c r="N20">
        <v>4.5</v>
      </c>
      <c r="O20">
        <v>6</v>
      </c>
      <c r="P20">
        <v>13.42829721518987</v>
      </c>
    </row>
    <row r="21" spans="1:16" hidden="1" x14ac:dyDescent="0.45">
      <c r="A21" t="s">
        <v>63</v>
      </c>
      <c r="B21" t="s">
        <v>38</v>
      </c>
      <c r="C21" t="s">
        <v>43</v>
      </c>
      <c r="D21">
        <v>3.66847493670886</v>
      </c>
      <c r="E21">
        <v>1.1000000000000001</v>
      </c>
      <c r="F21">
        <v>0.5</v>
      </c>
      <c r="G21">
        <v>0.48</v>
      </c>
      <c r="H21">
        <v>0.42875000000000002</v>
      </c>
      <c r="I21">
        <v>0</v>
      </c>
      <c r="J21">
        <v>0</v>
      </c>
      <c r="K21">
        <v>6</v>
      </c>
      <c r="L21">
        <v>4</v>
      </c>
      <c r="M21">
        <v>3</v>
      </c>
      <c r="N21">
        <v>3</v>
      </c>
      <c r="O21">
        <v>4</v>
      </c>
      <c r="P21">
        <v>12.177224936708861</v>
      </c>
    </row>
    <row r="22" spans="1:16" hidden="1" x14ac:dyDescent="0.45">
      <c r="A22" t="s">
        <v>64</v>
      </c>
      <c r="B22" t="s">
        <v>38</v>
      </c>
      <c r="C22" t="s">
        <v>47</v>
      </c>
      <c r="D22">
        <v>6.1391065822784814</v>
      </c>
      <c r="E22">
        <v>1.1000000000000001</v>
      </c>
      <c r="F22">
        <v>0.5</v>
      </c>
      <c r="G22">
        <v>0.24</v>
      </c>
      <c r="H22">
        <v>0.42875000000000002</v>
      </c>
      <c r="I22">
        <v>0.39508860759493669</v>
      </c>
      <c r="J22">
        <v>0</v>
      </c>
      <c r="K22">
        <v>3</v>
      </c>
      <c r="L22">
        <v>2</v>
      </c>
      <c r="M22">
        <v>1.5</v>
      </c>
      <c r="N22">
        <v>1.5</v>
      </c>
      <c r="O22">
        <v>2</v>
      </c>
      <c r="P22">
        <v>11.802945189873419</v>
      </c>
    </row>
    <row r="23" spans="1:16" hidden="1" x14ac:dyDescent="0.45">
      <c r="A23" t="s">
        <v>65</v>
      </c>
      <c r="B23" t="s">
        <v>38</v>
      </c>
      <c r="C23" t="s">
        <v>47</v>
      </c>
      <c r="D23">
        <v>3.9479446835443039</v>
      </c>
      <c r="E23">
        <v>1.1000000000000001</v>
      </c>
      <c r="F23">
        <v>0.5</v>
      </c>
      <c r="G23">
        <v>0.36</v>
      </c>
      <c r="H23">
        <v>0.42875000000000002</v>
      </c>
      <c r="I23">
        <v>0.35898734177215191</v>
      </c>
      <c r="J23">
        <v>0</v>
      </c>
      <c r="K23">
        <v>4.5</v>
      </c>
      <c r="L23">
        <v>3</v>
      </c>
      <c r="M23">
        <v>2.25</v>
      </c>
      <c r="N23">
        <v>2.25</v>
      </c>
      <c r="O23">
        <v>3</v>
      </c>
      <c r="P23">
        <v>11.195682025316451</v>
      </c>
    </row>
    <row r="24" spans="1:16" hidden="1" x14ac:dyDescent="0.45">
      <c r="A24" t="s">
        <v>66</v>
      </c>
      <c r="B24" t="s">
        <v>38</v>
      </c>
      <c r="C24" t="s">
        <v>47</v>
      </c>
      <c r="D24">
        <v>3.4421694936708862</v>
      </c>
      <c r="E24">
        <v>1.1000000000000001</v>
      </c>
      <c r="F24">
        <v>0.5</v>
      </c>
      <c r="G24">
        <v>0.36</v>
      </c>
      <c r="H24">
        <v>0.42875000000000002</v>
      </c>
      <c r="I24">
        <v>0.39508860759493669</v>
      </c>
      <c r="J24">
        <v>0</v>
      </c>
      <c r="K24">
        <v>4.5</v>
      </c>
      <c r="L24">
        <v>3</v>
      </c>
      <c r="M24">
        <v>2.25</v>
      </c>
      <c r="N24">
        <v>2.25</v>
      </c>
      <c r="O24">
        <v>3</v>
      </c>
      <c r="P24">
        <v>10.726008101265821</v>
      </c>
    </row>
    <row r="25" spans="1:16" hidden="1" x14ac:dyDescent="0.45">
      <c r="A25" t="s">
        <v>67</v>
      </c>
      <c r="B25" t="s">
        <v>38</v>
      </c>
      <c r="C25" t="s">
        <v>43</v>
      </c>
      <c r="D25">
        <v>3.670041139240507</v>
      </c>
      <c r="E25">
        <v>1.1000000000000001</v>
      </c>
      <c r="F25">
        <v>0.5</v>
      </c>
      <c r="G25">
        <v>0.24</v>
      </c>
      <c r="H25">
        <v>0.42875000000000002</v>
      </c>
      <c r="I25">
        <v>0</v>
      </c>
      <c r="J25">
        <v>0</v>
      </c>
      <c r="K25">
        <v>3</v>
      </c>
      <c r="L25">
        <v>2</v>
      </c>
      <c r="M25">
        <v>1.5</v>
      </c>
      <c r="N25">
        <v>1.5</v>
      </c>
      <c r="O25">
        <v>2</v>
      </c>
      <c r="P25">
        <v>8.9387911392405073</v>
      </c>
    </row>
    <row r="26" spans="1:16" x14ac:dyDescent="0.45">
      <c r="A26" t="s">
        <v>68</v>
      </c>
      <c r="B26" t="s">
        <v>55</v>
      </c>
      <c r="C26" t="s">
        <v>68</v>
      </c>
      <c r="D26">
        <v>0</v>
      </c>
      <c r="E26">
        <v>0</v>
      </c>
      <c r="F26">
        <v>0</v>
      </c>
      <c r="G26">
        <v>0</v>
      </c>
      <c r="H26">
        <v>0</v>
      </c>
      <c r="I26">
        <v>0.41706329113924051</v>
      </c>
      <c r="J26">
        <v>5</v>
      </c>
      <c r="K26">
        <v>3</v>
      </c>
      <c r="L26">
        <v>2</v>
      </c>
      <c r="M26">
        <v>1.5</v>
      </c>
      <c r="P26">
        <v>8.4170632911392396</v>
      </c>
    </row>
    <row r="27" spans="1:16" x14ac:dyDescent="0.45">
      <c r="A27" t="s">
        <v>69</v>
      </c>
      <c r="B27" t="s">
        <v>55</v>
      </c>
      <c r="C27" t="s">
        <v>69</v>
      </c>
      <c r="D27">
        <v>0</v>
      </c>
      <c r="E27">
        <v>0</v>
      </c>
      <c r="F27">
        <v>0</v>
      </c>
      <c r="G27">
        <v>0</v>
      </c>
      <c r="H27">
        <v>0</v>
      </c>
      <c r="I27">
        <v>0.35898734177215191</v>
      </c>
      <c r="J27">
        <v>4</v>
      </c>
      <c r="K27">
        <v>3</v>
      </c>
      <c r="L27">
        <v>2</v>
      </c>
      <c r="M27">
        <v>1.5</v>
      </c>
      <c r="P27">
        <v>7.3589873417721519</v>
      </c>
    </row>
    <row r="28" spans="1:16" hidden="1" x14ac:dyDescent="0.45">
      <c r="A28" t="s">
        <v>70</v>
      </c>
      <c r="B28" t="s">
        <v>38</v>
      </c>
      <c r="C28" t="s">
        <v>47</v>
      </c>
      <c r="D28">
        <v>1.58368</v>
      </c>
      <c r="E28">
        <v>1.1000000000000001</v>
      </c>
      <c r="F28">
        <v>0.5</v>
      </c>
      <c r="G28">
        <v>0.24</v>
      </c>
      <c r="H28">
        <v>0.42875000000000002</v>
      </c>
      <c r="I28">
        <v>0.35898734177215191</v>
      </c>
      <c r="J28">
        <v>0</v>
      </c>
      <c r="K28">
        <v>3</v>
      </c>
      <c r="L28">
        <v>2</v>
      </c>
      <c r="M28">
        <v>1.5</v>
      </c>
      <c r="N28">
        <v>1.5</v>
      </c>
      <c r="O28">
        <v>2</v>
      </c>
      <c r="P28">
        <v>7.2114173417721519</v>
      </c>
    </row>
    <row r="29" spans="1:16" x14ac:dyDescent="0.45">
      <c r="A29" t="s">
        <v>71</v>
      </c>
      <c r="B29" t="s">
        <v>55</v>
      </c>
      <c r="C29" t="s">
        <v>71</v>
      </c>
      <c r="D29">
        <v>0</v>
      </c>
      <c r="E29">
        <v>0</v>
      </c>
      <c r="F29">
        <v>0</v>
      </c>
      <c r="G29">
        <v>0</v>
      </c>
      <c r="H29">
        <v>0</v>
      </c>
      <c r="I29">
        <v>0.37516455696202528</v>
      </c>
      <c r="J29">
        <v>3.4</v>
      </c>
      <c r="K29">
        <v>3</v>
      </c>
      <c r="L29">
        <v>2</v>
      </c>
      <c r="M29">
        <v>1.5</v>
      </c>
      <c r="P29">
        <v>6.7751645569620251</v>
      </c>
    </row>
    <row r="30" spans="1:16" x14ac:dyDescent="0.45">
      <c r="A30" t="s">
        <v>72</v>
      </c>
      <c r="B30" t="s">
        <v>55</v>
      </c>
      <c r="C30" t="s">
        <v>72</v>
      </c>
      <c r="D30">
        <v>0</v>
      </c>
      <c r="E30">
        <v>0</v>
      </c>
      <c r="F30">
        <v>0</v>
      </c>
      <c r="G30">
        <v>0</v>
      </c>
      <c r="H30">
        <v>0</v>
      </c>
      <c r="I30">
        <v>1.6867594936708861</v>
      </c>
      <c r="J30">
        <v>3</v>
      </c>
      <c r="K30">
        <v>1.5</v>
      </c>
      <c r="L30">
        <v>1</v>
      </c>
      <c r="M30">
        <v>0.75</v>
      </c>
      <c r="P30">
        <v>6.1867594936708858</v>
      </c>
    </row>
    <row r="31" spans="1:16" x14ac:dyDescent="0.45">
      <c r="A31" t="s">
        <v>73</v>
      </c>
      <c r="B31" t="s">
        <v>55</v>
      </c>
      <c r="C31" t="s">
        <v>73</v>
      </c>
      <c r="D31">
        <v>0</v>
      </c>
      <c r="E31">
        <v>0</v>
      </c>
      <c r="F31">
        <v>0</v>
      </c>
      <c r="G31">
        <v>0</v>
      </c>
      <c r="H31">
        <v>0</v>
      </c>
      <c r="I31">
        <v>0.39508860759493669</v>
      </c>
      <c r="J31">
        <v>2.5</v>
      </c>
      <c r="K31">
        <v>1.5</v>
      </c>
      <c r="L31">
        <v>1</v>
      </c>
      <c r="M31">
        <v>0.75</v>
      </c>
      <c r="P31">
        <v>4.3950886075949356</v>
      </c>
    </row>
    <row r="32" spans="1:16" x14ac:dyDescent="0.45">
      <c r="A32" t="s">
        <v>74</v>
      </c>
      <c r="B32" t="s">
        <v>55</v>
      </c>
      <c r="C32" t="s">
        <v>74</v>
      </c>
      <c r="D32">
        <v>0</v>
      </c>
      <c r="E32">
        <v>0</v>
      </c>
      <c r="F32">
        <v>0</v>
      </c>
      <c r="G32">
        <v>0</v>
      </c>
      <c r="H32">
        <v>0</v>
      </c>
      <c r="I32">
        <v>0.3468101265822785</v>
      </c>
      <c r="J32">
        <v>2</v>
      </c>
      <c r="K32">
        <v>1.5</v>
      </c>
      <c r="L32">
        <v>1</v>
      </c>
      <c r="M32">
        <v>0.75</v>
      </c>
      <c r="P32">
        <v>3.8468101265822781</v>
      </c>
    </row>
  </sheetData>
  <autoFilter ref="A1:Q32" xr:uid="{00000000-0001-0000-0100-000000000000}">
    <filterColumn colId="1">
      <filters>
        <filter val="externo"/>
      </filters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8"/>
  <sheetViews>
    <sheetView workbookViewId="0">
      <selection activeCell="B3" sqref="B3"/>
    </sheetView>
  </sheetViews>
  <sheetFormatPr baseColWidth="10" defaultColWidth="9.06640625" defaultRowHeight="14.25" x14ac:dyDescent="0.45"/>
  <sheetData>
    <row r="1" spans="1:14" x14ac:dyDescent="0.45">
      <c r="A1" s="1" t="s">
        <v>19</v>
      </c>
      <c r="B1" s="1" t="s">
        <v>75</v>
      </c>
      <c r="C1" s="1" t="s">
        <v>76</v>
      </c>
      <c r="D1" s="1" t="s">
        <v>21</v>
      </c>
      <c r="E1" s="1" t="s">
        <v>22</v>
      </c>
      <c r="F1" s="1" t="s">
        <v>23</v>
      </c>
      <c r="G1" s="1" t="s">
        <v>24</v>
      </c>
      <c r="H1" s="1" t="s">
        <v>25</v>
      </c>
      <c r="I1" s="1" t="s">
        <v>27</v>
      </c>
      <c r="J1" s="1" t="s">
        <v>32</v>
      </c>
      <c r="K1" s="1" t="s">
        <v>77</v>
      </c>
      <c r="L1" s="1" t="s">
        <v>78</v>
      </c>
      <c r="M1" s="1" t="s">
        <v>79</v>
      </c>
      <c r="N1" s="1" t="s">
        <v>80</v>
      </c>
    </row>
    <row r="2" spans="1:14" x14ac:dyDescent="0.45">
      <c r="A2" t="s">
        <v>41</v>
      </c>
      <c r="B2" t="s">
        <v>81</v>
      </c>
      <c r="C2">
        <v>24.228083291139239</v>
      </c>
      <c r="D2">
        <v>25.300000000000011</v>
      </c>
      <c r="E2">
        <v>11.5</v>
      </c>
      <c r="F2">
        <v>17.64</v>
      </c>
      <c r="G2">
        <v>9.8612500000000018</v>
      </c>
      <c r="H2">
        <v>2.026405063291139</v>
      </c>
      <c r="I2">
        <v>220.5</v>
      </c>
      <c r="J2">
        <v>311.05573835443039</v>
      </c>
      <c r="K2" t="s">
        <v>82</v>
      </c>
      <c r="L2">
        <v>0</v>
      </c>
      <c r="M2">
        <v>5.25</v>
      </c>
      <c r="N2" t="s">
        <v>59</v>
      </c>
    </row>
    <row r="3" spans="1:14" x14ac:dyDescent="0.45">
      <c r="A3" t="s">
        <v>39</v>
      </c>
      <c r="B3" t="s">
        <v>81</v>
      </c>
      <c r="C3">
        <v>17.695139999999999</v>
      </c>
      <c r="D3">
        <v>23.1</v>
      </c>
      <c r="E3">
        <v>12</v>
      </c>
      <c r="F3">
        <v>19.440000000000001</v>
      </c>
      <c r="G3">
        <v>10.29</v>
      </c>
      <c r="H3">
        <v>0</v>
      </c>
      <c r="I3">
        <v>211.5</v>
      </c>
      <c r="J3">
        <v>294.02514000000002</v>
      </c>
      <c r="K3" t="s">
        <v>83</v>
      </c>
      <c r="L3">
        <v>15.75</v>
      </c>
      <c r="M3">
        <v>5.25</v>
      </c>
      <c r="N3" t="s">
        <v>34</v>
      </c>
    </row>
    <row r="4" spans="1:14" x14ac:dyDescent="0.45">
      <c r="A4" t="s">
        <v>47</v>
      </c>
      <c r="B4" t="s">
        <v>81</v>
      </c>
      <c r="C4">
        <v>25.81496873417721</v>
      </c>
      <c r="D4">
        <v>22</v>
      </c>
      <c r="E4">
        <v>10</v>
      </c>
      <c r="F4">
        <v>13.8</v>
      </c>
      <c r="G4">
        <v>8.5749999999999993</v>
      </c>
      <c r="H4">
        <v>2.6792911392405059</v>
      </c>
      <c r="I4">
        <v>172.5</v>
      </c>
      <c r="J4">
        <v>255.36925987341769</v>
      </c>
      <c r="K4" t="s">
        <v>84</v>
      </c>
      <c r="L4">
        <v>0</v>
      </c>
      <c r="M4">
        <v>5.25</v>
      </c>
      <c r="N4" t="s">
        <v>69</v>
      </c>
    </row>
    <row r="5" spans="1:14" x14ac:dyDescent="0.45">
      <c r="A5" t="s">
        <v>43</v>
      </c>
      <c r="B5" t="s">
        <v>81</v>
      </c>
      <c r="C5">
        <v>13.59206848101266</v>
      </c>
      <c r="D5">
        <v>20.9</v>
      </c>
      <c r="E5">
        <v>12</v>
      </c>
      <c r="F5">
        <v>18.36</v>
      </c>
      <c r="G5">
        <v>10.29</v>
      </c>
      <c r="H5">
        <v>0</v>
      </c>
      <c r="I5">
        <v>177</v>
      </c>
      <c r="J5">
        <v>252.14206848101259</v>
      </c>
      <c r="K5" t="s">
        <v>85</v>
      </c>
      <c r="L5">
        <v>26.25</v>
      </c>
      <c r="M5">
        <v>5.25</v>
      </c>
      <c r="N5" t="s">
        <v>34</v>
      </c>
    </row>
    <row r="6" spans="1:14" x14ac:dyDescent="0.45">
      <c r="A6" t="s">
        <v>45</v>
      </c>
      <c r="B6" t="s">
        <v>81</v>
      </c>
      <c r="C6">
        <v>11.14166253164557</v>
      </c>
      <c r="D6">
        <v>13.2</v>
      </c>
      <c r="E6">
        <v>12</v>
      </c>
      <c r="F6">
        <v>19.2</v>
      </c>
      <c r="G6">
        <v>10.29</v>
      </c>
      <c r="H6">
        <v>1.6867594936708861</v>
      </c>
      <c r="I6">
        <v>114</v>
      </c>
      <c r="J6">
        <v>181.51842202531651</v>
      </c>
      <c r="K6" t="s">
        <v>86</v>
      </c>
      <c r="L6">
        <v>63</v>
      </c>
      <c r="M6">
        <v>5.25</v>
      </c>
      <c r="N6" t="s">
        <v>34</v>
      </c>
    </row>
    <row r="7" spans="1:14" x14ac:dyDescent="0.45">
      <c r="A7" t="s">
        <v>51</v>
      </c>
      <c r="B7" t="s">
        <v>81</v>
      </c>
      <c r="C7">
        <v>9.7461670886109246</v>
      </c>
      <c r="D7">
        <v>6.6</v>
      </c>
      <c r="E7">
        <v>7</v>
      </c>
      <c r="F7">
        <v>9.84</v>
      </c>
      <c r="G7">
        <v>6.0025000000000004</v>
      </c>
      <c r="H7">
        <v>1.6867594936708861</v>
      </c>
      <c r="I7">
        <v>46.5</v>
      </c>
      <c r="J7">
        <v>87.375426582281818</v>
      </c>
      <c r="K7" t="s">
        <v>87</v>
      </c>
      <c r="L7">
        <v>38.25</v>
      </c>
      <c r="M7">
        <v>5.25</v>
      </c>
      <c r="N7" t="s">
        <v>34</v>
      </c>
    </row>
    <row r="8" spans="1:14" x14ac:dyDescent="0.45">
      <c r="A8" t="s">
        <v>88</v>
      </c>
      <c r="B8" t="s">
        <v>81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L8">
        <v>0</v>
      </c>
      <c r="M8">
        <v>0</v>
      </c>
      <c r="N8" t="s">
        <v>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P130"/>
  <sheetViews>
    <sheetView workbookViewId="0">
      <selection activeCell="H1" sqref="H1"/>
    </sheetView>
  </sheetViews>
  <sheetFormatPr baseColWidth="10" defaultColWidth="8.265625" defaultRowHeight="14.25" x14ac:dyDescent="0.45"/>
  <cols>
    <col min="1" max="1" width="11.06640625" bestFit="1" customWidth="1"/>
    <col min="2" max="2" width="7.73046875" bestFit="1" customWidth="1"/>
    <col min="3" max="3" width="17.6640625" bestFit="1" customWidth="1"/>
    <col min="4" max="4" width="15.265625" bestFit="1" customWidth="1"/>
    <col min="5" max="5" width="12" bestFit="1" customWidth="1"/>
    <col min="6" max="6" width="22.53125" bestFit="1" customWidth="1"/>
    <col min="7" max="7" width="18.73046875" bestFit="1" customWidth="1"/>
    <col min="8" max="8" width="14.6640625" bestFit="1" customWidth="1"/>
    <col min="9" max="9" width="11.73046875" bestFit="1" customWidth="1"/>
    <col min="10" max="11" width="10.9296875" bestFit="1" customWidth="1"/>
    <col min="12" max="12" width="13.33203125" bestFit="1" customWidth="1"/>
    <col min="13" max="14" width="11.73046875" bestFit="1" customWidth="1"/>
    <col min="15" max="15" width="14.73046875" bestFit="1" customWidth="1"/>
    <col min="16" max="16" width="9.06640625" bestFit="1" customWidth="1"/>
  </cols>
  <sheetData>
    <row r="1" spans="1:16" x14ac:dyDescent="0.45">
      <c r="A1" s="1" t="s">
        <v>89</v>
      </c>
      <c r="B1" s="1" t="s">
        <v>90</v>
      </c>
      <c r="C1" s="1" t="s">
        <v>91</v>
      </c>
      <c r="D1" s="1" t="s">
        <v>92</v>
      </c>
      <c r="E1" s="1" t="s">
        <v>93</v>
      </c>
      <c r="F1" s="1" t="s">
        <v>94</v>
      </c>
      <c r="G1" s="1" t="s">
        <v>95</v>
      </c>
      <c r="H1" s="1" t="s">
        <v>96</v>
      </c>
      <c r="I1" s="1" t="s">
        <v>20</v>
      </c>
      <c r="J1" s="1" t="s">
        <v>21</v>
      </c>
      <c r="K1" s="1" t="s">
        <v>22</v>
      </c>
      <c r="L1" s="1" t="s">
        <v>24</v>
      </c>
      <c r="M1" s="1" t="s">
        <v>23</v>
      </c>
      <c r="N1" s="1" t="s">
        <v>25</v>
      </c>
      <c r="O1" s="1" t="s">
        <v>27</v>
      </c>
      <c r="P1" s="1" t="s">
        <v>97</v>
      </c>
    </row>
    <row r="2" spans="1:16" x14ac:dyDescent="0.45">
      <c r="A2" t="s">
        <v>51</v>
      </c>
      <c r="B2">
        <v>1</v>
      </c>
      <c r="C2" t="s">
        <v>50</v>
      </c>
      <c r="D2">
        <v>3.8833333333333329</v>
      </c>
      <c r="E2">
        <v>5.177777777777778</v>
      </c>
      <c r="F2" t="s">
        <v>98</v>
      </c>
      <c r="G2">
        <v>3.1166666666666671</v>
      </c>
      <c r="H2" t="s">
        <v>50</v>
      </c>
      <c r="I2">
        <v>2.1000000000033299</v>
      </c>
      <c r="J2">
        <v>1.1000000000000001</v>
      </c>
      <c r="K2">
        <v>0.5</v>
      </c>
      <c r="L2">
        <v>0.42875000000000002</v>
      </c>
      <c r="M2">
        <v>0.62133333333333329</v>
      </c>
      <c r="N2">
        <v>1.6867594936708861</v>
      </c>
      <c r="O2">
        <v>0</v>
      </c>
    </row>
    <row r="3" spans="1:16" x14ac:dyDescent="0.45">
      <c r="A3" t="s">
        <v>51</v>
      </c>
      <c r="B3">
        <v>2</v>
      </c>
      <c r="C3" t="s">
        <v>50</v>
      </c>
      <c r="D3">
        <v>5.25</v>
      </c>
      <c r="E3">
        <v>7</v>
      </c>
      <c r="G3">
        <v>0</v>
      </c>
      <c r="H3" t="s">
        <v>50</v>
      </c>
      <c r="I3">
        <v>0</v>
      </c>
      <c r="J3">
        <v>1.1000000000000001</v>
      </c>
      <c r="K3">
        <v>0.5</v>
      </c>
      <c r="L3">
        <v>0.42875000000000002</v>
      </c>
      <c r="M3">
        <v>0.84</v>
      </c>
      <c r="N3">
        <v>0</v>
      </c>
      <c r="O3">
        <v>0</v>
      </c>
    </row>
    <row r="4" spans="1:16" x14ac:dyDescent="0.45">
      <c r="A4" t="s">
        <v>51</v>
      </c>
      <c r="B4">
        <v>3</v>
      </c>
      <c r="C4" t="s">
        <v>50</v>
      </c>
      <c r="D4">
        <v>5.25</v>
      </c>
      <c r="E4">
        <v>7</v>
      </c>
      <c r="G4">
        <v>0</v>
      </c>
      <c r="H4" t="s">
        <v>50</v>
      </c>
      <c r="I4">
        <v>0</v>
      </c>
      <c r="J4">
        <v>1.1000000000000001</v>
      </c>
      <c r="K4">
        <v>0.5</v>
      </c>
      <c r="L4">
        <v>0.42875000000000002</v>
      </c>
      <c r="M4">
        <v>0.84</v>
      </c>
      <c r="N4">
        <v>0</v>
      </c>
      <c r="O4">
        <v>0</v>
      </c>
    </row>
    <row r="5" spans="1:16" x14ac:dyDescent="0.45">
      <c r="A5" t="s">
        <v>51</v>
      </c>
      <c r="B5">
        <v>4</v>
      </c>
      <c r="C5" t="s">
        <v>50</v>
      </c>
      <c r="D5">
        <v>5.25</v>
      </c>
      <c r="E5">
        <v>7</v>
      </c>
      <c r="G5">
        <v>0</v>
      </c>
      <c r="H5" t="s">
        <v>50</v>
      </c>
      <c r="I5">
        <v>0</v>
      </c>
      <c r="J5">
        <v>1.1000000000000001</v>
      </c>
      <c r="K5">
        <v>0.5</v>
      </c>
      <c r="L5">
        <v>0.42875000000000002</v>
      </c>
      <c r="M5">
        <v>0.84</v>
      </c>
      <c r="N5">
        <v>0</v>
      </c>
      <c r="O5">
        <v>0</v>
      </c>
    </row>
    <row r="6" spans="1:16" x14ac:dyDescent="0.45">
      <c r="A6" t="s">
        <v>51</v>
      </c>
      <c r="B6">
        <v>5</v>
      </c>
      <c r="C6" t="s">
        <v>50</v>
      </c>
      <c r="D6">
        <v>1.3666666666666669</v>
      </c>
      <c r="E6">
        <v>1.8222222222222231</v>
      </c>
      <c r="G6">
        <v>0</v>
      </c>
      <c r="H6" t="s">
        <v>50</v>
      </c>
      <c r="I6">
        <v>0</v>
      </c>
      <c r="J6">
        <v>1.1000000000000001</v>
      </c>
      <c r="K6">
        <v>0.5</v>
      </c>
      <c r="L6">
        <v>0.42875000000000002</v>
      </c>
      <c r="M6">
        <v>0.2186666666666667</v>
      </c>
      <c r="N6">
        <v>0</v>
      </c>
      <c r="O6">
        <v>0</v>
      </c>
    </row>
    <row r="7" spans="1:16" x14ac:dyDescent="0.45">
      <c r="A7" t="s">
        <v>51</v>
      </c>
      <c r="B7">
        <v>6</v>
      </c>
      <c r="C7" t="s">
        <v>61</v>
      </c>
      <c r="D7">
        <v>2.25</v>
      </c>
      <c r="E7">
        <v>3</v>
      </c>
      <c r="F7" t="s">
        <v>99</v>
      </c>
      <c r="G7">
        <v>3.0945</v>
      </c>
      <c r="H7" t="s">
        <v>61</v>
      </c>
      <c r="I7">
        <v>7.6461670886075952</v>
      </c>
      <c r="J7">
        <v>1.1000000000000001</v>
      </c>
      <c r="K7">
        <v>0.5</v>
      </c>
      <c r="L7">
        <v>0.42875000000000002</v>
      </c>
      <c r="M7">
        <v>0.36</v>
      </c>
      <c r="N7">
        <v>0</v>
      </c>
      <c r="O7">
        <v>0</v>
      </c>
    </row>
    <row r="8" spans="1:16" hidden="1" x14ac:dyDescent="0.45">
      <c r="A8" t="s">
        <v>51</v>
      </c>
      <c r="B8">
        <v>7</v>
      </c>
      <c r="C8" t="s">
        <v>34</v>
      </c>
      <c r="D8">
        <v>5.25</v>
      </c>
      <c r="E8">
        <v>7</v>
      </c>
      <c r="G8">
        <v>0</v>
      </c>
      <c r="H8" t="s">
        <v>34</v>
      </c>
      <c r="I8">
        <v>0</v>
      </c>
      <c r="J8">
        <v>0</v>
      </c>
      <c r="K8">
        <v>0.5</v>
      </c>
      <c r="L8">
        <v>0.42875000000000002</v>
      </c>
      <c r="M8">
        <v>0.84</v>
      </c>
      <c r="N8">
        <v>0</v>
      </c>
      <c r="O8">
        <v>0</v>
      </c>
    </row>
    <row r="9" spans="1:16" hidden="1" x14ac:dyDescent="0.45">
      <c r="A9" t="s">
        <v>51</v>
      </c>
      <c r="B9">
        <v>8</v>
      </c>
      <c r="C9" t="s">
        <v>34</v>
      </c>
      <c r="D9">
        <v>5.25</v>
      </c>
      <c r="E9">
        <v>7</v>
      </c>
      <c r="G9">
        <v>0</v>
      </c>
      <c r="H9" t="s">
        <v>34</v>
      </c>
      <c r="I9">
        <v>0</v>
      </c>
      <c r="J9">
        <v>0</v>
      </c>
      <c r="K9">
        <v>0.5</v>
      </c>
      <c r="L9">
        <v>0.42875000000000002</v>
      </c>
      <c r="M9">
        <v>0.84</v>
      </c>
      <c r="N9">
        <v>0</v>
      </c>
      <c r="O9">
        <v>0</v>
      </c>
    </row>
    <row r="10" spans="1:16" hidden="1" x14ac:dyDescent="0.45">
      <c r="A10" t="s">
        <v>51</v>
      </c>
      <c r="B10">
        <v>9</v>
      </c>
      <c r="C10" t="s">
        <v>34</v>
      </c>
      <c r="D10">
        <v>5.25</v>
      </c>
      <c r="E10">
        <v>7</v>
      </c>
      <c r="G10">
        <v>0</v>
      </c>
      <c r="H10" t="s">
        <v>34</v>
      </c>
      <c r="I10">
        <v>0</v>
      </c>
      <c r="J10">
        <v>0</v>
      </c>
      <c r="K10">
        <v>0.5</v>
      </c>
      <c r="L10">
        <v>0.42875000000000002</v>
      </c>
      <c r="M10">
        <v>0.84</v>
      </c>
      <c r="N10">
        <v>0</v>
      </c>
      <c r="O10">
        <v>0</v>
      </c>
    </row>
    <row r="11" spans="1:16" hidden="1" x14ac:dyDescent="0.45">
      <c r="A11" t="s">
        <v>51</v>
      </c>
      <c r="B11">
        <v>10</v>
      </c>
      <c r="C11" t="s">
        <v>34</v>
      </c>
      <c r="D11">
        <v>5.25</v>
      </c>
      <c r="E11">
        <v>7</v>
      </c>
      <c r="G11">
        <v>0</v>
      </c>
      <c r="H11" t="s">
        <v>34</v>
      </c>
      <c r="I11">
        <v>0</v>
      </c>
      <c r="J11">
        <v>0</v>
      </c>
      <c r="K11">
        <v>0.5</v>
      </c>
      <c r="L11">
        <v>0.42875000000000002</v>
      </c>
      <c r="M11">
        <v>0.84</v>
      </c>
      <c r="N11">
        <v>0</v>
      </c>
      <c r="O11">
        <v>0</v>
      </c>
    </row>
    <row r="12" spans="1:16" hidden="1" x14ac:dyDescent="0.45">
      <c r="A12" t="s">
        <v>51</v>
      </c>
      <c r="B12">
        <v>11</v>
      </c>
      <c r="C12" t="s">
        <v>34</v>
      </c>
      <c r="D12">
        <v>5.25</v>
      </c>
      <c r="E12">
        <v>7</v>
      </c>
      <c r="G12">
        <v>0</v>
      </c>
      <c r="H12" t="s">
        <v>34</v>
      </c>
      <c r="I12">
        <v>0</v>
      </c>
      <c r="J12">
        <v>0</v>
      </c>
      <c r="K12">
        <v>0.5</v>
      </c>
      <c r="L12">
        <v>0.42875000000000002</v>
      </c>
      <c r="M12">
        <v>0.84</v>
      </c>
      <c r="N12">
        <v>0</v>
      </c>
      <c r="O12">
        <v>0</v>
      </c>
    </row>
    <row r="13" spans="1:16" hidden="1" x14ac:dyDescent="0.45">
      <c r="A13" t="s">
        <v>51</v>
      </c>
      <c r="B13">
        <v>12</v>
      </c>
      <c r="C13" t="s">
        <v>34</v>
      </c>
      <c r="D13">
        <v>5.25</v>
      </c>
      <c r="E13">
        <v>7</v>
      </c>
      <c r="G13">
        <v>0</v>
      </c>
      <c r="H13" t="s">
        <v>34</v>
      </c>
      <c r="I13">
        <v>0</v>
      </c>
      <c r="J13">
        <v>0</v>
      </c>
      <c r="K13">
        <v>0.5</v>
      </c>
      <c r="L13">
        <v>0.42875000000000002</v>
      </c>
      <c r="M13">
        <v>0.84</v>
      </c>
      <c r="N13">
        <v>0</v>
      </c>
      <c r="O13">
        <v>0</v>
      </c>
    </row>
    <row r="14" spans="1:16" hidden="1" x14ac:dyDescent="0.45">
      <c r="A14" t="s">
        <v>51</v>
      </c>
      <c r="B14">
        <v>13</v>
      </c>
      <c r="C14" t="s">
        <v>34</v>
      </c>
      <c r="D14">
        <v>5.25</v>
      </c>
      <c r="E14">
        <v>7</v>
      </c>
      <c r="G14">
        <v>0</v>
      </c>
      <c r="H14" t="s">
        <v>34</v>
      </c>
      <c r="I14">
        <v>0</v>
      </c>
      <c r="J14">
        <v>0</v>
      </c>
      <c r="K14">
        <v>0.5</v>
      </c>
      <c r="L14">
        <v>0.42875000000000002</v>
      </c>
      <c r="M14">
        <v>0.84</v>
      </c>
      <c r="N14">
        <v>0</v>
      </c>
      <c r="O14">
        <v>0</v>
      </c>
    </row>
    <row r="15" spans="1:16" hidden="1" x14ac:dyDescent="0.45">
      <c r="A15" t="s">
        <v>51</v>
      </c>
      <c r="B15">
        <v>14</v>
      </c>
      <c r="C15" t="s">
        <v>34</v>
      </c>
      <c r="D15">
        <v>1.5</v>
      </c>
      <c r="E15">
        <v>2</v>
      </c>
      <c r="G15">
        <v>0</v>
      </c>
      <c r="H15" t="s">
        <v>34</v>
      </c>
      <c r="I15">
        <v>0</v>
      </c>
      <c r="J15">
        <v>0</v>
      </c>
      <c r="K15">
        <v>0.5</v>
      </c>
      <c r="L15">
        <v>0.42875000000000002</v>
      </c>
      <c r="M15">
        <v>0.24</v>
      </c>
      <c r="N15">
        <v>0</v>
      </c>
      <c r="O15">
        <v>0</v>
      </c>
    </row>
    <row r="16" spans="1:16" x14ac:dyDescent="0.45">
      <c r="A16" t="s">
        <v>45</v>
      </c>
      <c r="B16">
        <v>1</v>
      </c>
      <c r="C16" t="s">
        <v>57</v>
      </c>
      <c r="D16">
        <v>4.6166666666666671</v>
      </c>
      <c r="E16">
        <v>6.1555555555555559</v>
      </c>
      <c r="F16" t="s">
        <v>98</v>
      </c>
      <c r="G16">
        <v>2.3833333333333329</v>
      </c>
      <c r="H16" t="s">
        <v>57</v>
      </c>
      <c r="I16">
        <v>1.5841099999999999</v>
      </c>
      <c r="J16">
        <v>1.1000000000000001</v>
      </c>
      <c r="K16">
        <v>0.5</v>
      </c>
      <c r="L16">
        <v>0.42875000000000002</v>
      </c>
      <c r="M16">
        <v>0.73866666666666669</v>
      </c>
      <c r="N16">
        <v>1.6867594936708861</v>
      </c>
      <c r="O16">
        <v>0</v>
      </c>
    </row>
    <row r="17" spans="1:15" x14ac:dyDescent="0.45">
      <c r="A17" t="s">
        <v>45</v>
      </c>
      <c r="B17">
        <v>2</v>
      </c>
      <c r="C17" t="s">
        <v>57</v>
      </c>
      <c r="D17">
        <v>4.3833333333333329</v>
      </c>
      <c r="E17">
        <v>5.8444444444444441</v>
      </c>
      <c r="G17">
        <v>0</v>
      </c>
      <c r="H17" t="s">
        <v>57</v>
      </c>
      <c r="I17">
        <v>0</v>
      </c>
      <c r="J17">
        <v>1.1000000000000001</v>
      </c>
      <c r="K17">
        <v>0.5</v>
      </c>
      <c r="L17">
        <v>0.42875000000000002</v>
      </c>
      <c r="M17">
        <v>0.70133333333333325</v>
      </c>
      <c r="N17">
        <v>0</v>
      </c>
      <c r="O17">
        <v>0</v>
      </c>
    </row>
    <row r="18" spans="1:15" x14ac:dyDescent="0.45">
      <c r="A18" t="s">
        <v>45</v>
      </c>
      <c r="B18">
        <v>3</v>
      </c>
      <c r="C18" t="s">
        <v>44</v>
      </c>
      <c r="D18">
        <v>3.1319374999999998</v>
      </c>
      <c r="E18">
        <v>4.1759166666666667</v>
      </c>
      <c r="F18" t="s">
        <v>99</v>
      </c>
      <c r="G18">
        <v>3.8680625000000002</v>
      </c>
      <c r="H18" t="s">
        <v>44</v>
      </c>
      <c r="I18">
        <v>9.5575525316455678</v>
      </c>
      <c r="J18">
        <v>1.1000000000000001</v>
      </c>
      <c r="K18">
        <v>0.5</v>
      </c>
      <c r="L18">
        <v>0.42875000000000002</v>
      </c>
      <c r="M18">
        <v>0.50110999999999994</v>
      </c>
      <c r="N18">
        <v>0</v>
      </c>
      <c r="O18">
        <v>0</v>
      </c>
    </row>
    <row r="19" spans="1:15" x14ac:dyDescent="0.45">
      <c r="A19" t="s">
        <v>45</v>
      </c>
      <c r="B19">
        <v>4</v>
      </c>
      <c r="C19" t="s">
        <v>44</v>
      </c>
      <c r="D19">
        <v>5.25</v>
      </c>
      <c r="E19">
        <v>7</v>
      </c>
      <c r="G19">
        <v>0</v>
      </c>
      <c r="H19" t="s">
        <v>44</v>
      </c>
      <c r="I19">
        <v>0</v>
      </c>
      <c r="J19">
        <v>1.1000000000000001</v>
      </c>
      <c r="K19">
        <v>0.5</v>
      </c>
      <c r="L19">
        <v>0.42875000000000002</v>
      </c>
      <c r="M19">
        <v>0.84</v>
      </c>
      <c r="N19">
        <v>0</v>
      </c>
      <c r="O19">
        <v>0</v>
      </c>
    </row>
    <row r="20" spans="1:15" x14ac:dyDescent="0.45">
      <c r="A20" t="s">
        <v>45</v>
      </c>
      <c r="B20">
        <v>5</v>
      </c>
      <c r="C20" t="s">
        <v>44</v>
      </c>
      <c r="D20">
        <v>5.25</v>
      </c>
      <c r="E20">
        <v>7</v>
      </c>
      <c r="G20">
        <v>0</v>
      </c>
      <c r="H20" t="s">
        <v>44</v>
      </c>
      <c r="I20">
        <v>0</v>
      </c>
      <c r="J20">
        <v>1.1000000000000001</v>
      </c>
      <c r="K20">
        <v>0.5</v>
      </c>
      <c r="L20">
        <v>0.42875000000000002</v>
      </c>
      <c r="M20">
        <v>0.84</v>
      </c>
      <c r="N20">
        <v>0</v>
      </c>
      <c r="O20">
        <v>0</v>
      </c>
    </row>
    <row r="21" spans="1:15" x14ac:dyDescent="0.45">
      <c r="A21" t="s">
        <v>45</v>
      </c>
      <c r="B21">
        <v>6</v>
      </c>
      <c r="C21" t="s">
        <v>44</v>
      </c>
      <c r="D21">
        <v>5.25</v>
      </c>
      <c r="E21">
        <v>7</v>
      </c>
      <c r="G21">
        <v>0</v>
      </c>
      <c r="H21" t="s">
        <v>44</v>
      </c>
      <c r="I21">
        <v>0</v>
      </c>
      <c r="J21">
        <v>1.1000000000000001</v>
      </c>
      <c r="K21">
        <v>0.5</v>
      </c>
      <c r="L21">
        <v>0.42875000000000002</v>
      </c>
      <c r="M21">
        <v>0.84</v>
      </c>
      <c r="N21">
        <v>0</v>
      </c>
      <c r="O21">
        <v>0</v>
      </c>
    </row>
    <row r="22" spans="1:15" x14ac:dyDescent="0.45">
      <c r="A22" t="s">
        <v>45</v>
      </c>
      <c r="B22">
        <v>7</v>
      </c>
      <c r="C22" t="s">
        <v>44</v>
      </c>
      <c r="D22">
        <v>5.25</v>
      </c>
      <c r="E22">
        <v>7</v>
      </c>
      <c r="G22">
        <v>0</v>
      </c>
      <c r="H22" t="s">
        <v>44</v>
      </c>
      <c r="I22">
        <v>0</v>
      </c>
      <c r="J22">
        <v>1.1000000000000001</v>
      </c>
      <c r="K22">
        <v>0.5</v>
      </c>
      <c r="L22">
        <v>0.42875000000000002</v>
      </c>
      <c r="M22">
        <v>0.84</v>
      </c>
      <c r="N22">
        <v>0</v>
      </c>
      <c r="O22">
        <v>0</v>
      </c>
    </row>
    <row r="23" spans="1:15" x14ac:dyDescent="0.45">
      <c r="A23" t="s">
        <v>45</v>
      </c>
      <c r="B23">
        <v>8</v>
      </c>
      <c r="C23" t="s">
        <v>44</v>
      </c>
      <c r="D23">
        <v>5.25</v>
      </c>
      <c r="E23">
        <v>7</v>
      </c>
      <c r="G23">
        <v>0</v>
      </c>
      <c r="H23" t="s">
        <v>44</v>
      </c>
      <c r="I23">
        <v>0</v>
      </c>
      <c r="J23">
        <v>1.1000000000000001</v>
      </c>
      <c r="K23">
        <v>0.5</v>
      </c>
      <c r="L23">
        <v>0.42875000000000002</v>
      </c>
      <c r="M23">
        <v>0.84</v>
      </c>
      <c r="N23">
        <v>0</v>
      </c>
      <c r="O23">
        <v>0</v>
      </c>
    </row>
    <row r="24" spans="1:15" x14ac:dyDescent="0.45">
      <c r="A24" t="s">
        <v>45</v>
      </c>
      <c r="B24">
        <v>9</v>
      </c>
      <c r="C24" t="s">
        <v>44</v>
      </c>
      <c r="D24">
        <v>5.25</v>
      </c>
      <c r="E24">
        <v>7</v>
      </c>
      <c r="G24">
        <v>0</v>
      </c>
      <c r="H24" t="s">
        <v>44</v>
      </c>
      <c r="I24">
        <v>0</v>
      </c>
      <c r="J24">
        <v>1.1000000000000001</v>
      </c>
      <c r="K24">
        <v>0.5</v>
      </c>
      <c r="L24">
        <v>0.42875000000000002</v>
      </c>
      <c r="M24">
        <v>0.84</v>
      </c>
      <c r="N24">
        <v>0</v>
      </c>
      <c r="O24">
        <v>0</v>
      </c>
    </row>
    <row r="25" spans="1:15" x14ac:dyDescent="0.45">
      <c r="A25" t="s">
        <v>45</v>
      </c>
      <c r="B25">
        <v>10</v>
      </c>
      <c r="C25" t="s">
        <v>44</v>
      </c>
      <c r="D25">
        <v>5.25</v>
      </c>
      <c r="E25">
        <v>7</v>
      </c>
      <c r="G25">
        <v>0</v>
      </c>
      <c r="H25" t="s">
        <v>44</v>
      </c>
      <c r="I25">
        <v>0</v>
      </c>
      <c r="J25">
        <v>1.1000000000000001</v>
      </c>
      <c r="K25">
        <v>0.5</v>
      </c>
      <c r="L25">
        <v>0.42875000000000002</v>
      </c>
      <c r="M25">
        <v>0.84</v>
      </c>
      <c r="N25">
        <v>0</v>
      </c>
      <c r="O25">
        <v>0</v>
      </c>
    </row>
    <row r="26" spans="1:15" x14ac:dyDescent="0.45">
      <c r="A26" t="s">
        <v>45</v>
      </c>
      <c r="B26">
        <v>11</v>
      </c>
      <c r="C26" t="s">
        <v>44</v>
      </c>
      <c r="D26">
        <v>5.25</v>
      </c>
      <c r="E26">
        <v>7</v>
      </c>
      <c r="G26">
        <v>0</v>
      </c>
      <c r="H26" t="s">
        <v>44</v>
      </c>
      <c r="I26">
        <v>0</v>
      </c>
      <c r="J26">
        <v>1.1000000000000001</v>
      </c>
      <c r="K26">
        <v>0.5</v>
      </c>
      <c r="L26">
        <v>0.42875000000000002</v>
      </c>
      <c r="M26">
        <v>0.84</v>
      </c>
      <c r="N26">
        <v>0</v>
      </c>
      <c r="O26">
        <v>0</v>
      </c>
    </row>
    <row r="27" spans="1:15" x14ac:dyDescent="0.45">
      <c r="A27" t="s">
        <v>45</v>
      </c>
      <c r="B27">
        <v>12</v>
      </c>
      <c r="C27" t="s">
        <v>44</v>
      </c>
      <c r="D27">
        <v>2.8680625000000011</v>
      </c>
      <c r="E27">
        <v>3.8240833333333342</v>
      </c>
      <c r="G27">
        <v>0</v>
      </c>
      <c r="H27" t="s">
        <v>44</v>
      </c>
      <c r="I27">
        <v>0</v>
      </c>
      <c r="J27">
        <v>1.1000000000000001</v>
      </c>
      <c r="K27">
        <v>0.5</v>
      </c>
      <c r="L27">
        <v>0.42875000000000002</v>
      </c>
      <c r="M27">
        <v>0.45889000000000008</v>
      </c>
      <c r="N27">
        <v>0</v>
      </c>
      <c r="O27">
        <v>0</v>
      </c>
    </row>
    <row r="28" spans="1:15" hidden="1" x14ac:dyDescent="0.45">
      <c r="A28" t="s">
        <v>45</v>
      </c>
      <c r="B28">
        <v>13</v>
      </c>
      <c r="C28" t="s">
        <v>34</v>
      </c>
      <c r="D28">
        <v>5.25</v>
      </c>
      <c r="E28">
        <v>7</v>
      </c>
      <c r="G28">
        <v>0</v>
      </c>
      <c r="H28" t="s">
        <v>34</v>
      </c>
      <c r="I28">
        <v>0</v>
      </c>
      <c r="J28">
        <v>0</v>
      </c>
      <c r="K28">
        <v>0.5</v>
      </c>
      <c r="L28">
        <v>0.42875000000000002</v>
      </c>
      <c r="M28">
        <v>0.84</v>
      </c>
      <c r="N28">
        <v>0</v>
      </c>
      <c r="O28">
        <v>0</v>
      </c>
    </row>
    <row r="29" spans="1:15" hidden="1" x14ac:dyDescent="0.45">
      <c r="A29" t="s">
        <v>45</v>
      </c>
      <c r="B29">
        <v>14</v>
      </c>
      <c r="C29" t="s">
        <v>34</v>
      </c>
      <c r="D29">
        <v>5.25</v>
      </c>
      <c r="E29">
        <v>7</v>
      </c>
      <c r="G29">
        <v>0</v>
      </c>
      <c r="H29" t="s">
        <v>34</v>
      </c>
      <c r="I29">
        <v>0</v>
      </c>
      <c r="J29">
        <v>0</v>
      </c>
      <c r="K29">
        <v>0.5</v>
      </c>
      <c r="L29">
        <v>0.42875000000000002</v>
      </c>
      <c r="M29">
        <v>0.84</v>
      </c>
      <c r="N29">
        <v>0</v>
      </c>
      <c r="O29">
        <v>0</v>
      </c>
    </row>
    <row r="30" spans="1:15" hidden="1" x14ac:dyDescent="0.45">
      <c r="A30" t="s">
        <v>45</v>
      </c>
      <c r="B30">
        <v>15</v>
      </c>
      <c r="C30" t="s">
        <v>34</v>
      </c>
      <c r="D30">
        <v>5.25</v>
      </c>
      <c r="E30">
        <v>7</v>
      </c>
      <c r="G30">
        <v>0</v>
      </c>
      <c r="H30" t="s">
        <v>34</v>
      </c>
      <c r="I30">
        <v>0</v>
      </c>
      <c r="J30">
        <v>0</v>
      </c>
      <c r="K30">
        <v>0.5</v>
      </c>
      <c r="L30">
        <v>0.42875000000000002</v>
      </c>
      <c r="M30">
        <v>0.84</v>
      </c>
      <c r="N30">
        <v>0</v>
      </c>
      <c r="O30">
        <v>0</v>
      </c>
    </row>
    <row r="31" spans="1:15" hidden="1" x14ac:dyDescent="0.45">
      <c r="A31" t="s">
        <v>45</v>
      </c>
      <c r="B31">
        <v>16</v>
      </c>
      <c r="C31" t="s">
        <v>34</v>
      </c>
      <c r="D31">
        <v>5.25</v>
      </c>
      <c r="E31">
        <v>7</v>
      </c>
      <c r="G31">
        <v>0</v>
      </c>
      <c r="H31" t="s">
        <v>34</v>
      </c>
      <c r="I31">
        <v>0</v>
      </c>
      <c r="J31">
        <v>0</v>
      </c>
      <c r="K31">
        <v>0.5</v>
      </c>
      <c r="L31">
        <v>0.42875000000000002</v>
      </c>
      <c r="M31">
        <v>0.84</v>
      </c>
      <c r="N31">
        <v>0</v>
      </c>
      <c r="O31">
        <v>0</v>
      </c>
    </row>
    <row r="32" spans="1:15" hidden="1" x14ac:dyDescent="0.45">
      <c r="A32" t="s">
        <v>45</v>
      </c>
      <c r="B32">
        <v>17</v>
      </c>
      <c r="C32" t="s">
        <v>34</v>
      </c>
      <c r="D32">
        <v>5.25</v>
      </c>
      <c r="E32">
        <v>7</v>
      </c>
      <c r="G32">
        <v>0</v>
      </c>
      <c r="H32" t="s">
        <v>34</v>
      </c>
      <c r="I32">
        <v>0</v>
      </c>
      <c r="J32">
        <v>0</v>
      </c>
      <c r="K32">
        <v>0.5</v>
      </c>
      <c r="L32">
        <v>0.42875000000000002</v>
      </c>
      <c r="M32">
        <v>0.84</v>
      </c>
      <c r="N32">
        <v>0</v>
      </c>
      <c r="O32">
        <v>0</v>
      </c>
    </row>
    <row r="33" spans="1:15" hidden="1" x14ac:dyDescent="0.45">
      <c r="A33" t="s">
        <v>45</v>
      </c>
      <c r="B33">
        <v>18</v>
      </c>
      <c r="C33" t="s">
        <v>34</v>
      </c>
      <c r="D33">
        <v>5.25</v>
      </c>
      <c r="E33">
        <v>7</v>
      </c>
      <c r="G33">
        <v>0</v>
      </c>
      <c r="H33" t="s">
        <v>34</v>
      </c>
      <c r="I33">
        <v>0</v>
      </c>
      <c r="J33">
        <v>0</v>
      </c>
      <c r="K33">
        <v>0.5</v>
      </c>
      <c r="L33">
        <v>0.42875000000000002</v>
      </c>
      <c r="M33">
        <v>0.84</v>
      </c>
      <c r="N33">
        <v>0</v>
      </c>
      <c r="O33">
        <v>0</v>
      </c>
    </row>
    <row r="34" spans="1:15" hidden="1" x14ac:dyDescent="0.45">
      <c r="A34" t="s">
        <v>45</v>
      </c>
      <c r="B34">
        <v>19</v>
      </c>
      <c r="C34" t="s">
        <v>34</v>
      </c>
      <c r="D34">
        <v>5.25</v>
      </c>
      <c r="E34">
        <v>7</v>
      </c>
      <c r="G34">
        <v>0</v>
      </c>
      <c r="H34" t="s">
        <v>34</v>
      </c>
      <c r="I34">
        <v>0</v>
      </c>
      <c r="J34">
        <v>0</v>
      </c>
      <c r="K34">
        <v>0.5</v>
      </c>
      <c r="L34">
        <v>0.42875000000000002</v>
      </c>
      <c r="M34">
        <v>0.84</v>
      </c>
      <c r="N34">
        <v>0</v>
      </c>
      <c r="O34">
        <v>0</v>
      </c>
    </row>
    <row r="35" spans="1:15" hidden="1" x14ac:dyDescent="0.45">
      <c r="A35" t="s">
        <v>45</v>
      </c>
      <c r="B35">
        <v>20</v>
      </c>
      <c r="C35" t="s">
        <v>34</v>
      </c>
      <c r="D35">
        <v>5.25</v>
      </c>
      <c r="E35">
        <v>7</v>
      </c>
      <c r="G35">
        <v>0</v>
      </c>
      <c r="H35" t="s">
        <v>34</v>
      </c>
      <c r="I35">
        <v>0</v>
      </c>
      <c r="J35">
        <v>0</v>
      </c>
      <c r="K35">
        <v>0.5</v>
      </c>
      <c r="L35">
        <v>0.42875000000000002</v>
      </c>
      <c r="M35">
        <v>0.84</v>
      </c>
      <c r="N35">
        <v>0</v>
      </c>
      <c r="O35">
        <v>0</v>
      </c>
    </row>
    <row r="36" spans="1:15" hidden="1" x14ac:dyDescent="0.45">
      <c r="A36" t="s">
        <v>45</v>
      </c>
      <c r="B36">
        <v>21</v>
      </c>
      <c r="C36" t="s">
        <v>34</v>
      </c>
      <c r="D36">
        <v>5.25</v>
      </c>
      <c r="E36">
        <v>7</v>
      </c>
      <c r="G36">
        <v>0</v>
      </c>
      <c r="H36" t="s">
        <v>34</v>
      </c>
      <c r="I36">
        <v>0</v>
      </c>
      <c r="J36">
        <v>0</v>
      </c>
      <c r="K36">
        <v>0.5</v>
      </c>
      <c r="L36">
        <v>0.42875000000000002</v>
      </c>
      <c r="M36">
        <v>0.84</v>
      </c>
      <c r="N36">
        <v>0</v>
      </c>
      <c r="O36">
        <v>0</v>
      </c>
    </row>
    <row r="37" spans="1:15" hidden="1" x14ac:dyDescent="0.45">
      <c r="A37" t="s">
        <v>45</v>
      </c>
      <c r="B37">
        <v>22</v>
      </c>
      <c r="C37" t="s">
        <v>34</v>
      </c>
      <c r="D37">
        <v>5.25</v>
      </c>
      <c r="E37">
        <v>7</v>
      </c>
      <c r="G37">
        <v>0</v>
      </c>
      <c r="H37" t="s">
        <v>34</v>
      </c>
      <c r="I37">
        <v>0</v>
      </c>
      <c r="J37">
        <v>0</v>
      </c>
      <c r="K37">
        <v>0.5</v>
      </c>
      <c r="L37">
        <v>0.42875000000000002</v>
      </c>
      <c r="M37">
        <v>0.84</v>
      </c>
      <c r="N37">
        <v>0</v>
      </c>
      <c r="O37">
        <v>0</v>
      </c>
    </row>
    <row r="38" spans="1:15" hidden="1" x14ac:dyDescent="0.45">
      <c r="A38" t="s">
        <v>45</v>
      </c>
      <c r="B38">
        <v>23</v>
      </c>
      <c r="C38" t="s">
        <v>34</v>
      </c>
      <c r="D38">
        <v>5.25</v>
      </c>
      <c r="E38">
        <v>7</v>
      </c>
      <c r="G38">
        <v>0</v>
      </c>
      <c r="H38" t="s">
        <v>34</v>
      </c>
      <c r="I38">
        <v>0</v>
      </c>
      <c r="J38">
        <v>0</v>
      </c>
      <c r="K38">
        <v>0.5</v>
      </c>
      <c r="L38">
        <v>0.42875000000000002</v>
      </c>
      <c r="M38">
        <v>0.84</v>
      </c>
      <c r="N38">
        <v>0</v>
      </c>
      <c r="O38">
        <v>0</v>
      </c>
    </row>
    <row r="39" spans="1:15" hidden="1" x14ac:dyDescent="0.45">
      <c r="A39" t="s">
        <v>45</v>
      </c>
      <c r="B39">
        <v>24</v>
      </c>
      <c r="C39" t="s">
        <v>34</v>
      </c>
      <c r="D39">
        <v>5.25</v>
      </c>
      <c r="E39">
        <v>7</v>
      </c>
      <c r="G39">
        <v>0</v>
      </c>
      <c r="H39" t="s">
        <v>34</v>
      </c>
      <c r="I39">
        <v>0</v>
      </c>
      <c r="J39">
        <v>0</v>
      </c>
      <c r="K39">
        <v>0.5</v>
      </c>
      <c r="L39">
        <v>0.42875000000000002</v>
      </c>
      <c r="M39">
        <v>0.84</v>
      </c>
      <c r="N39">
        <v>0</v>
      </c>
      <c r="O39">
        <v>0</v>
      </c>
    </row>
    <row r="40" spans="1:15" x14ac:dyDescent="0.45">
      <c r="A40" t="s">
        <v>47</v>
      </c>
      <c r="B40">
        <v>1</v>
      </c>
      <c r="C40" t="s">
        <v>58</v>
      </c>
      <c r="D40">
        <v>5.25</v>
      </c>
      <c r="E40">
        <v>7</v>
      </c>
      <c r="F40" t="s">
        <v>99</v>
      </c>
      <c r="G40">
        <v>1.2268749999999999</v>
      </c>
      <c r="H40" t="s">
        <v>58</v>
      </c>
      <c r="I40">
        <v>3.0314620253164559</v>
      </c>
      <c r="J40">
        <v>1.1000000000000001</v>
      </c>
      <c r="K40">
        <v>0.5</v>
      </c>
      <c r="L40">
        <v>0.42875000000000002</v>
      </c>
      <c r="M40">
        <v>0.84</v>
      </c>
      <c r="N40">
        <v>0.35898734177215191</v>
      </c>
      <c r="O40">
        <v>0</v>
      </c>
    </row>
    <row r="41" spans="1:15" x14ac:dyDescent="0.45">
      <c r="A41" t="s">
        <v>47</v>
      </c>
      <c r="B41">
        <v>2</v>
      </c>
      <c r="C41" t="s">
        <v>58</v>
      </c>
      <c r="D41">
        <v>1.5</v>
      </c>
      <c r="E41">
        <v>2</v>
      </c>
      <c r="G41">
        <v>0</v>
      </c>
      <c r="H41" t="s">
        <v>58</v>
      </c>
      <c r="I41">
        <v>0</v>
      </c>
      <c r="J41">
        <v>1.1000000000000001</v>
      </c>
      <c r="K41">
        <v>0.5</v>
      </c>
      <c r="L41">
        <v>0.42875000000000002</v>
      </c>
      <c r="M41">
        <v>0.24</v>
      </c>
      <c r="N41">
        <v>0</v>
      </c>
      <c r="O41">
        <v>0</v>
      </c>
    </row>
    <row r="42" spans="1:15" x14ac:dyDescent="0.45">
      <c r="A42" t="s">
        <v>47</v>
      </c>
      <c r="B42">
        <v>3</v>
      </c>
      <c r="C42" t="s">
        <v>70</v>
      </c>
      <c r="D42">
        <v>1.5</v>
      </c>
      <c r="E42">
        <v>2</v>
      </c>
      <c r="F42" t="s">
        <v>99</v>
      </c>
      <c r="G42">
        <v>0.36820000000000003</v>
      </c>
      <c r="H42" t="s">
        <v>70</v>
      </c>
      <c r="I42">
        <v>1.58368</v>
      </c>
      <c r="J42">
        <v>1.1000000000000001</v>
      </c>
      <c r="K42">
        <v>0.5</v>
      </c>
      <c r="L42">
        <v>0.42875000000000002</v>
      </c>
      <c r="M42">
        <v>0.24</v>
      </c>
      <c r="N42">
        <v>0.35898734177215191</v>
      </c>
      <c r="O42">
        <v>0</v>
      </c>
    </row>
    <row r="43" spans="1:15" x14ac:dyDescent="0.45">
      <c r="A43" t="s">
        <v>47</v>
      </c>
      <c r="B43">
        <v>4</v>
      </c>
      <c r="C43" t="s">
        <v>65</v>
      </c>
      <c r="D43">
        <v>2.25</v>
      </c>
      <c r="E43">
        <v>3</v>
      </c>
      <c r="F43" t="s">
        <v>99</v>
      </c>
      <c r="G43">
        <v>1.5974874999999999</v>
      </c>
      <c r="H43" t="s">
        <v>65</v>
      </c>
      <c r="I43">
        <v>3.9479446835443039</v>
      </c>
      <c r="J43">
        <v>1.1000000000000001</v>
      </c>
      <c r="K43">
        <v>0.5</v>
      </c>
      <c r="L43">
        <v>0.42875000000000002</v>
      </c>
      <c r="M43">
        <v>0.36</v>
      </c>
      <c r="N43">
        <v>0.35898734177215191</v>
      </c>
      <c r="O43">
        <v>0</v>
      </c>
    </row>
    <row r="44" spans="1:15" x14ac:dyDescent="0.45">
      <c r="A44" t="s">
        <v>47</v>
      </c>
      <c r="B44">
        <v>5</v>
      </c>
      <c r="C44" t="s">
        <v>48</v>
      </c>
      <c r="D44">
        <v>5.25</v>
      </c>
      <c r="E44">
        <v>7</v>
      </c>
      <c r="F44" t="s">
        <v>99</v>
      </c>
      <c r="G44">
        <v>1.7459499999999999</v>
      </c>
      <c r="H44" t="s">
        <v>48</v>
      </c>
      <c r="I44">
        <v>4.3140521518987338</v>
      </c>
      <c r="J44">
        <v>1.1000000000000001</v>
      </c>
      <c r="K44">
        <v>0.5</v>
      </c>
      <c r="L44">
        <v>0.42875000000000002</v>
      </c>
      <c r="M44">
        <v>0.84</v>
      </c>
      <c r="N44">
        <v>0.39508860759493669</v>
      </c>
      <c r="O44">
        <v>0</v>
      </c>
    </row>
    <row r="45" spans="1:15" x14ac:dyDescent="0.45">
      <c r="A45" t="s">
        <v>47</v>
      </c>
      <c r="B45">
        <v>6</v>
      </c>
      <c r="C45" t="s">
        <v>48</v>
      </c>
      <c r="D45">
        <v>5.25</v>
      </c>
      <c r="E45">
        <v>7</v>
      </c>
      <c r="G45">
        <v>0</v>
      </c>
      <c r="H45" t="s">
        <v>48</v>
      </c>
      <c r="I45">
        <v>0</v>
      </c>
      <c r="J45">
        <v>1.1000000000000001</v>
      </c>
      <c r="K45">
        <v>0.5</v>
      </c>
      <c r="L45">
        <v>0.42875000000000002</v>
      </c>
      <c r="M45">
        <v>0.84</v>
      </c>
      <c r="N45">
        <v>0</v>
      </c>
      <c r="O45">
        <v>0</v>
      </c>
    </row>
    <row r="46" spans="1:15" x14ac:dyDescent="0.45">
      <c r="A46" t="s">
        <v>47</v>
      </c>
      <c r="B46">
        <v>7</v>
      </c>
      <c r="C46" t="s">
        <v>48</v>
      </c>
      <c r="D46">
        <v>5.25</v>
      </c>
      <c r="E46">
        <v>7</v>
      </c>
      <c r="G46">
        <v>0</v>
      </c>
      <c r="H46" t="s">
        <v>48</v>
      </c>
      <c r="I46">
        <v>0</v>
      </c>
      <c r="J46">
        <v>1.1000000000000001</v>
      </c>
      <c r="K46">
        <v>0.5</v>
      </c>
      <c r="L46">
        <v>0.42875000000000002</v>
      </c>
      <c r="M46">
        <v>0.84</v>
      </c>
      <c r="N46">
        <v>0</v>
      </c>
      <c r="O46">
        <v>0</v>
      </c>
    </row>
    <row r="47" spans="1:15" x14ac:dyDescent="0.45">
      <c r="A47" t="s">
        <v>47</v>
      </c>
      <c r="B47">
        <v>8</v>
      </c>
      <c r="C47" t="s">
        <v>48</v>
      </c>
      <c r="D47">
        <v>5.25</v>
      </c>
      <c r="E47">
        <v>7</v>
      </c>
      <c r="G47">
        <v>0</v>
      </c>
      <c r="H47" t="s">
        <v>48</v>
      </c>
      <c r="I47">
        <v>0</v>
      </c>
      <c r="J47">
        <v>1.1000000000000001</v>
      </c>
      <c r="K47">
        <v>0.5</v>
      </c>
      <c r="L47">
        <v>0.42875000000000002</v>
      </c>
      <c r="M47">
        <v>0.84</v>
      </c>
      <c r="N47">
        <v>0</v>
      </c>
      <c r="O47">
        <v>0</v>
      </c>
    </row>
    <row r="48" spans="1:15" x14ac:dyDescent="0.45">
      <c r="A48" t="s">
        <v>47</v>
      </c>
      <c r="B48">
        <v>9</v>
      </c>
      <c r="C48" t="s">
        <v>48</v>
      </c>
      <c r="D48">
        <v>5.25</v>
      </c>
      <c r="E48">
        <v>7</v>
      </c>
      <c r="G48">
        <v>0</v>
      </c>
      <c r="H48" t="s">
        <v>48</v>
      </c>
      <c r="I48">
        <v>0</v>
      </c>
      <c r="J48">
        <v>1.1000000000000001</v>
      </c>
      <c r="K48">
        <v>0.5</v>
      </c>
      <c r="L48">
        <v>0.42875000000000002</v>
      </c>
      <c r="M48">
        <v>0.84</v>
      </c>
      <c r="N48">
        <v>0</v>
      </c>
      <c r="O48">
        <v>0</v>
      </c>
    </row>
    <row r="49" spans="1:15" x14ac:dyDescent="0.45">
      <c r="A49" t="s">
        <v>47</v>
      </c>
      <c r="B49">
        <v>10</v>
      </c>
      <c r="C49" t="s">
        <v>64</v>
      </c>
      <c r="D49">
        <v>1.5</v>
      </c>
      <c r="E49">
        <v>2</v>
      </c>
      <c r="F49" t="s">
        <v>99</v>
      </c>
      <c r="G49">
        <v>2.484575</v>
      </c>
      <c r="H49" t="s">
        <v>64</v>
      </c>
      <c r="I49">
        <v>6.1391065822784814</v>
      </c>
      <c r="J49">
        <v>1.1000000000000001</v>
      </c>
      <c r="K49">
        <v>0.5</v>
      </c>
      <c r="L49">
        <v>0.42875000000000002</v>
      </c>
      <c r="M49">
        <v>0.24</v>
      </c>
      <c r="N49">
        <v>0.39508860759493669</v>
      </c>
      <c r="O49">
        <v>0</v>
      </c>
    </row>
    <row r="50" spans="1:15" x14ac:dyDescent="0.45">
      <c r="A50" t="s">
        <v>47</v>
      </c>
      <c r="B50">
        <v>11</v>
      </c>
      <c r="C50" t="s">
        <v>66</v>
      </c>
      <c r="D50">
        <v>2.25</v>
      </c>
      <c r="E50">
        <v>3</v>
      </c>
      <c r="F50" t="s">
        <v>99</v>
      </c>
      <c r="G50">
        <v>1.3930875</v>
      </c>
      <c r="H50" t="s">
        <v>66</v>
      </c>
      <c r="I50">
        <v>3.4421694936708862</v>
      </c>
      <c r="J50">
        <v>1.1000000000000001</v>
      </c>
      <c r="K50">
        <v>0.5</v>
      </c>
      <c r="L50">
        <v>0.42875000000000002</v>
      </c>
      <c r="M50">
        <v>0.36</v>
      </c>
      <c r="N50">
        <v>0.39508860759493669</v>
      </c>
      <c r="O50">
        <v>0</v>
      </c>
    </row>
    <row r="51" spans="1:15" x14ac:dyDescent="0.45">
      <c r="A51" t="s">
        <v>47</v>
      </c>
      <c r="B51">
        <v>12</v>
      </c>
      <c r="C51" t="s">
        <v>46</v>
      </c>
      <c r="D51">
        <v>5.25</v>
      </c>
      <c r="E51">
        <v>7</v>
      </c>
      <c r="F51" t="s">
        <v>99</v>
      </c>
      <c r="G51">
        <v>1.3584375</v>
      </c>
      <c r="H51" t="s">
        <v>46</v>
      </c>
      <c r="I51">
        <v>3.3565537974683539</v>
      </c>
      <c r="J51">
        <v>1.1000000000000001</v>
      </c>
      <c r="K51">
        <v>0.5</v>
      </c>
      <c r="L51">
        <v>0.42875000000000002</v>
      </c>
      <c r="M51">
        <v>0.84</v>
      </c>
      <c r="N51">
        <v>0.41706329113924051</v>
      </c>
      <c r="O51">
        <v>0</v>
      </c>
    </row>
    <row r="52" spans="1:15" x14ac:dyDescent="0.45">
      <c r="A52" t="s">
        <v>47</v>
      </c>
      <c r="B52">
        <v>13</v>
      </c>
      <c r="C52" t="s">
        <v>46</v>
      </c>
      <c r="D52">
        <v>5.25</v>
      </c>
      <c r="E52">
        <v>7</v>
      </c>
      <c r="G52">
        <v>0</v>
      </c>
      <c r="H52" t="s">
        <v>46</v>
      </c>
      <c r="I52">
        <v>0</v>
      </c>
      <c r="J52">
        <v>1.1000000000000001</v>
      </c>
      <c r="K52">
        <v>0.5</v>
      </c>
      <c r="L52">
        <v>0.42875000000000002</v>
      </c>
      <c r="M52">
        <v>0.84</v>
      </c>
      <c r="N52">
        <v>0</v>
      </c>
      <c r="O52">
        <v>0</v>
      </c>
    </row>
    <row r="53" spans="1:15" x14ac:dyDescent="0.45">
      <c r="A53" t="s">
        <v>47</v>
      </c>
      <c r="B53">
        <v>14</v>
      </c>
      <c r="C53" t="s">
        <v>46</v>
      </c>
      <c r="D53">
        <v>5.25</v>
      </c>
      <c r="E53">
        <v>7</v>
      </c>
      <c r="G53">
        <v>0</v>
      </c>
      <c r="H53" t="s">
        <v>46</v>
      </c>
      <c r="I53">
        <v>0</v>
      </c>
      <c r="J53">
        <v>1.1000000000000001</v>
      </c>
      <c r="K53">
        <v>0.5</v>
      </c>
      <c r="L53">
        <v>0.42875000000000002</v>
      </c>
      <c r="M53">
        <v>0.84</v>
      </c>
      <c r="N53">
        <v>0</v>
      </c>
      <c r="O53">
        <v>0</v>
      </c>
    </row>
    <row r="54" spans="1:15" x14ac:dyDescent="0.45">
      <c r="A54" t="s">
        <v>47</v>
      </c>
      <c r="B54">
        <v>15</v>
      </c>
      <c r="C54" t="s">
        <v>46</v>
      </c>
      <c r="D54">
        <v>5.25</v>
      </c>
      <c r="E54">
        <v>7</v>
      </c>
      <c r="G54">
        <v>0</v>
      </c>
      <c r="H54" t="s">
        <v>46</v>
      </c>
      <c r="I54">
        <v>0</v>
      </c>
      <c r="J54">
        <v>1.1000000000000001</v>
      </c>
      <c r="K54">
        <v>0.5</v>
      </c>
      <c r="L54">
        <v>0.42875000000000002</v>
      </c>
      <c r="M54">
        <v>0.84</v>
      </c>
      <c r="N54">
        <v>0</v>
      </c>
      <c r="O54">
        <v>0</v>
      </c>
    </row>
    <row r="55" spans="1:15" x14ac:dyDescent="0.45">
      <c r="A55" t="s">
        <v>47</v>
      </c>
      <c r="B55">
        <v>16</v>
      </c>
      <c r="C55" t="s">
        <v>46</v>
      </c>
      <c r="D55">
        <v>5.25</v>
      </c>
      <c r="E55">
        <v>7</v>
      </c>
      <c r="G55">
        <v>0</v>
      </c>
      <c r="H55" t="s">
        <v>46</v>
      </c>
      <c r="I55">
        <v>0</v>
      </c>
      <c r="J55">
        <v>1.1000000000000001</v>
      </c>
      <c r="K55">
        <v>0.5</v>
      </c>
      <c r="L55">
        <v>0.42875000000000002</v>
      </c>
      <c r="M55">
        <v>0.84</v>
      </c>
      <c r="N55">
        <v>0</v>
      </c>
      <c r="O55">
        <v>0</v>
      </c>
    </row>
    <row r="56" spans="1:15" x14ac:dyDescent="0.45">
      <c r="A56" t="s">
        <v>47</v>
      </c>
      <c r="B56">
        <v>17</v>
      </c>
      <c r="C56" t="s">
        <v>46</v>
      </c>
      <c r="D56">
        <v>5.25</v>
      </c>
      <c r="E56">
        <v>7</v>
      </c>
      <c r="G56">
        <v>0</v>
      </c>
      <c r="H56" t="s">
        <v>46</v>
      </c>
      <c r="I56">
        <v>0</v>
      </c>
      <c r="J56">
        <v>1.1000000000000001</v>
      </c>
      <c r="K56">
        <v>0.5</v>
      </c>
      <c r="L56">
        <v>0.42875000000000002</v>
      </c>
      <c r="M56">
        <v>0.84</v>
      </c>
      <c r="N56">
        <v>0</v>
      </c>
      <c r="O56">
        <v>0</v>
      </c>
    </row>
    <row r="57" spans="1:15" x14ac:dyDescent="0.45">
      <c r="A57" t="s">
        <v>47</v>
      </c>
      <c r="B57">
        <v>18</v>
      </c>
      <c r="C57" t="s">
        <v>46</v>
      </c>
      <c r="D57">
        <v>5.25</v>
      </c>
      <c r="E57">
        <v>7</v>
      </c>
      <c r="G57">
        <v>0</v>
      </c>
      <c r="H57" t="s">
        <v>46</v>
      </c>
      <c r="I57">
        <v>0</v>
      </c>
      <c r="J57">
        <v>1.1000000000000001</v>
      </c>
      <c r="K57">
        <v>0.5</v>
      </c>
      <c r="L57">
        <v>0.42875000000000002</v>
      </c>
      <c r="M57">
        <v>0.84</v>
      </c>
      <c r="N57">
        <v>0</v>
      </c>
      <c r="O57">
        <v>0</v>
      </c>
    </row>
    <row r="58" spans="1:15" x14ac:dyDescent="0.45">
      <c r="A58" t="s">
        <v>47</v>
      </c>
      <c r="B58">
        <v>19</v>
      </c>
      <c r="C58" t="s">
        <v>46</v>
      </c>
      <c r="D58">
        <v>5.25</v>
      </c>
      <c r="E58">
        <v>7</v>
      </c>
      <c r="G58">
        <v>0</v>
      </c>
      <c r="H58" t="s">
        <v>46</v>
      </c>
      <c r="I58">
        <v>0</v>
      </c>
      <c r="J58">
        <v>1.1000000000000001</v>
      </c>
      <c r="K58">
        <v>0.5</v>
      </c>
      <c r="L58">
        <v>0.42875000000000002</v>
      </c>
      <c r="M58">
        <v>0.84</v>
      </c>
      <c r="N58">
        <v>0</v>
      </c>
      <c r="O58">
        <v>0</v>
      </c>
    </row>
    <row r="59" spans="1:15" x14ac:dyDescent="0.45">
      <c r="A59" t="s">
        <v>47</v>
      </c>
      <c r="B59">
        <v>20</v>
      </c>
      <c r="C59" t="s">
        <v>46</v>
      </c>
      <c r="D59">
        <v>3.75</v>
      </c>
      <c r="E59">
        <v>5</v>
      </c>
      <c r="G59">
        <v>0</v>
      </c>
      <c r="H59" t="s">
        <v>46</v>
      </c>
      <c r="I59">
        <v>0</v>
      </c>
      <c r="J59">
        <v>1.1000000000000001</v>
      </c>
      <c r="K59">
        <v>0.5</v>
      </c>
      <c r="L59">
        <v>0.42875000000000002</v>
      </c>
      <c r="M59">
        <v>0.6</v>
      </c>
      <c r="N59">
        <v>0</v>
      </c>
      <c r="O59">
        <v>0</v>
      </c>
    </row>
    <row r="60" spans="1:15" x14ac:dyDescent="0.45">
      <c r="A60" t="s">
        <v>39</v>
      </c>
      <c r="B60">
        <v>1</v>
      </c>
      <c r="C60" t="s">
        <v>37</v>
      </c>
      <c r="D60">
        <v>5.25</v>
      </c>
      <c r="E60">
        <v>7</v>
      </c>
      <c r="F60" t="s">
        <v>99</v>
      </c>
      <c r="G60">
        <v>1.5067999999999999</v>
      </c>
      <c r="H60" t="s">
        <v>37</v>
      </c>
      <c r="I60">
        <v>3.824395949367088</v>
      </c>
      <c r="J60">
        <v>1.1000000000000001</v>
      </c>
      <c r="K60">
        <v>0.5</v>
      </c>
      <c r="L60">
        <v>0.42875000000000002</v>
      </c>
      <c r="M60">
        <v>0.84</v>
      </c>
      <c r="N60">
        <v>0</v>
      </c>
      <c r="O60">
        <v>0</v>
      </c>
    </row>
    <row r="61" spans="1:15" x14ac:dyDescent="0.45">
      <c r="A61" t="s">
        <v>39</v>
      </c>
      <c r="B61">
        <v>2</v>
      </c>
      <c r="C61" t="s">
        <v>37</v>
      </c>
      <c r="D61">
        <v>5.25</v>
      </c>
      <c r="E61">
        <v>7</v>
      </c>
      <c r="G61">
        <v>0</v>
      </c>
      <c r="H61" t="s">
        <v>37</v>
      </c>
      <c r="I61">
        <v>0</v>
      </c>
      <c r="J61">
        <v>1.1000000000000001</v>
      </c>
      <c r="K61">
        <v>0.5</v>
      </c>
      <c r="L61">
        <v>0.42875000000000002</v>
      </c>
      <c r="M61">
        <v>0.84</v>
      </c>
      <c r="N61">
        <v>0</v>
      </c>
      <c r="O61">
        <v>0</v>
      </c>
    </row>
    <row r="62" spans="1:15" x14ac:dyDescent="0.45">
      <c r="A62" t="s">
        <v>39</v>
      </c>
      <c r="B62">
        <v>3</v>
      </c>
      <c r="C62" t="s">
        <v>37</v>
      </c>
      <c r="D62">
        <v>5.25</v>
      </c>
      <c r="E62">
        <v>7</v>
      </c>
      <c r="G62">
        <v>0</v>
      </c>
      <c r="H62" t="s">
        <v>37</v>
      </c>
      <c r="I62">
        <v>0</v>
      </c>
      <c r="J62">
        <v>1.1000000000000001</v>
      </c>
      <c r="K62">
        <v>0.5</v>
      </c>
      <c r="L62">
        <v>0.42875000000000002</v>
      </c>
      <c r="M62">
        <v>0.84</v>
      </c>
      <c r="N62">
        <v>0</v>
      </c>
      <c r="O62">
        <v>0</v>
      </c>
    </row>
    <row r="63" spans="1:15" x14ac:dyDescent="0.45">
      <c r="A63" t="s">
        <v>39</v>
      </c>
      <c r="B63">
        <v>4</v>
      </c>
      <c r="C63" t="s">
        <v>37</v>
      </c>
      <c r="D63">
        <v>5.25</v>
      </c>
      <c r="E63">
        <v>7</v>
      </c>
      <c r="G63">
        <v>0</v>
      </c>
      <c r="H63" t="s">
        <v>37</v>
      </c>
      <c r="I63">
        <v>0</v>
      </c>
      <c r="J63">
        <v>1.1000000000000001</v>
      </c>
      <c r="K63">
        <v>0.5</v>
      </c>
      <c r="L63">
        <v>0.42875000000000002</v>
      </c>
      <c r="M63">
        <v>0.84</v>
      </c>
      <c r="N63">
        <v>0</v>
      </c>
      <c r="O63">
        <v>0</v>
      </c>
    </row>
    <row r="64" spans="1:15" x14ac:dyDescent="0.45">
      <c r="A64" t="s">
        <v>39</v>
      </c>
      <c r="B64">
        <v>5</v>
      </c>
      <c r="C64" t="s">
        <v>37</v>
      </c>
      <c r="D64">
        <v>5.25</v>
      </c>
      <c r="E64">
        <v>7</v>
      </c>
      <c r="G64">
        <v>0</v>
      </c>
      <c r="H64" t="s">
        <v>37</v>
      </c>
      <c r="I64">
        <v>0</v>
      </c>
      <c r="J64">
        <v>1.1000000000000001</v>
      </c>
      <c r="K64">
        <v>0.5</v>
      </c>
      <c r="L64">
        <v>0.42875000000000002</v>
      </c>
      <c r="M64">
        <v>0.84</v>
      </c>
      <c r="N64">
        <v>0</v>
      </c>
      <c r="O64">
        <v>0</v>
      </c>
    </row>
    <row r="65" spans="1:15" x14ac:dyDescent="0.45">
      <c r="A65" t="s">
        <v>39</v>
      </c>
      <c r="B65">
        <v>6</v>
      </c>
      <c r="C65" t="s">
        <v>37</v>
      </c>
      <c r="D65">
        <v>5.25</v>
      </c>
      <c r="E65">
        <v>7</v>
      </c>
      <c r="G65">
        <v>0</v>
      </c>
      <c r="H65" t="s">
        <v>37</v>
      </c>
      <c r="I65">
        <v>0</v>
      </c>
      <c r="J65">
        <v>1.1000000000000001</v>
      </c>
      <c r="K65">
        <v>0.5</v>
      </c>
      <c r="L65">
        <v>0.42875000000000002</v>
      </c>
      <c r="M65">
        <v>0.84</v>
      </c>
      <c r="N65">
        <v>0</v>
      </c>
      <c r="O65">
        <v>0</v>
      </c>
    </row>
    <row r="66" spans="1:15" x14ac:dyDescent="0.45">
      <c r="A66" t="s">
        <v>39</v>
      </c>
      <c r="B66">
        <v>7</v>
      </c>
      <c r="C66" t="s">
        <v>37</v>
      </c>
      <c r="D66">
        <v>5.25</v>
      </c>
      <c r="E66">
        <v>7</v>
      </c>
      <c r="G66">
        <v>0</v>
      </c>
      <c r="H66" t="s">
        <v>37</v>
      </c>
      <c r="I66">
        <v>0</v>
      </c>
      <c r="J66">
        <v>1.1000000000000001</v>
      </c>
      <c r="K66">
        <v>0.5</v>
      </c>
      <c r="L66">
        <v>0.42875000000000002</v>
      </c>
      <c r="M66">
        <v>0.84</v>
      </c>
      <c r="N66">
        <v>0</v>
      </c>
      <c r="O66">
        <v>0</v>
      </c>
    </row>
    <row r="67" spans="1:15" x14ac:dyDescent="0.45">
      <c r="A67" t="s">
        <v>39</v>
      </c>
      <c r="B67">
        <v>8</v>
      </c>
      <c r="C67" t="s">
        <v>37</v>
      </c>
      <c r="D67">
        <v>5.25</v>
      </c>
      <c r="E67">
        <v>7</v>
      </c>
      <c r="G67">
        <v>0</v>
      </c>
      <c r="H67" t="s">
        <v>37</v>
      </c>
      <c r="I67">
        <v>0</v>
      </c>
      <c r="J67">
        <v>1.1000000000000001</v>
      </c>
      <c r="K67">
        <v>0.5</v>
      </c>
      <c r="L67">
        <v>0.42875000000000002</v>
      </c>
      <c r="M67">
        <v>0.84</v>
      </c>
      <c r="N67">
        <v>0</v>
      </c>
      <c r="O67">
        <v>0</v>
      </c>
    </row>
    <row r="68" spans="1:15" x14ac:dyDescent="0.45">
      <c r="A68" t="s">
        <v>39</v>
      </c>
      <c r="B68">
        <v>9</v>
      </c>
      <c r="C68" t="s">
        <v>37</v>
      </c>
      <c r="D68">
        <v>5.25</v>
      </c>
      <c r="E68">
        <v>7</v>
      </c>
      <c r="G68">
        <v>0</v>
      </c>
      <c r="H68" t="s">
        <v>37</v>
      </c>
      <c r="I68">
        <v>0</v>
      </c>
      <c r="J68">
        <v>1.1000000000000001</v>
      </c>
      <c r="K68">
        <v>0.5</v>
      </c>
      <c r="L68">
        <v>0.42875000000000002</v>
      </c>
      <c r="M68">
        <v>0.84</v>
      </c>
      <c r="N68">
        <v>0</v>
      </c>
      <c r="O68">
        <v>0</v>
      </c>
    </row>
    <row r="69" spans="1:15" x14ac:dyDescent="0.45">
      <c r="A69" t="s">
        <v>39</v>
      </c>
      <c r="B69">
        <v>10</v>
      </c>
      <c r="C69" t="s">
        <v>37</v>
      </c>
      <c r="D69">
        <v>5.25</v>
      </c>
      <c r="E69">
        <v>7</v>
      </c>
      <c r="G69">
        <v>0</v>
      </c>
      <c r="H69" t="s">
        <v>37</v>
      </c>
      <c r="I69">
        <v>0</v>
      </c>
      <c r="J69">
        <v>1.1000000000000001</v>
      </c>
      <c r="K69">
        <v>0.5</v>
      </c>
      <c r="L69">
        <v>0.42875000000000002</v>
      </c>
      <c r="M69">
        <v>0.84</v>
      </c>
      <c r="N69">
        <v>0</v>
      </c>
      <c r="O69">
        <v>0</v>
      </c>
    </row>
    <row r="70" spans="1:15" x14ac:dyDescent="0.45">
      <c r="A70" t="s">
        <v>39</v>
      </c>
      <c r="B70">
        <v>11</v>
      </c>
      <c r="C70" t="s">
        <v>37</v>
      </c>
      <c r="D70">
        <v>5.25</v>
      </c>
      <c r="E70">
        <v>7</v>
      </c>
      <c r="G70">
        <v>0</v>
      </c>
      <c r="H70" t="s">
        <v>37</v>
      </c>
      <c r="I70">
        <v>0</v>
      </c>
      <c r="J70">
        <v>1.1000000000000001</v>
      </c>
      <c r="K70">
        <v>0.5</v>
      </c>
      <c r="L70">
        <v>0.42875000000000002</v>
      </c>
      <c r="M70">
        <v>0.84</v>
      </c>
      <c r="N70">
        <v>0</v>
      </c>
      <c r="O70">
        <v>0</v>
      </c>
    </row>
    <row r="71" spans="1:15" x14ac:dyDescent="0.45">
      <c r="A71" t="s">
        <v>39</v>
      </c>
      <c r="B71">
        <v>12</v>
      </c>
      <c r="C71" t="s">
        <v>37</v>
      </c>
      <c r="D71">
        <v>5.25</v>
      </c>
      <c r="E71">
        <v>7</v>
      </c>
      <c r="G71">
        <v>0</v>
      </c>
      <c r="H71" t="s">
        <v>37</v>
      </c>
      <c r="I71">
        <v>0</v>
      </c>
      <c r="J71">
        <v>1.1000000000000001</v>
      </c>
      <c r="K71">
        <v>0.5</v>
      </c>
      <c r="L71">
        <v>0.42875000000000002</v>
      </c>
      <c r="M71">
        <v>0.84</v>
      </c>
      <c r="N71">
        <v>0</v>
      </c>
      <c r="O71">
        <v>0</v>
      </c>
    </row>
    <row r="72" spans="1:15" x14ac:dyDescent="0.45">
      <c r="A72" t="s">
        <v>39</v>
      </c>
      <c r="B72">
        <v>13</v>
      </c>
      <c r="C72" t="s">
        <v>37</v>
      </c>
      <c r="D72">
        <v>5.25</v>
      </c>
      <c r="E72">
        <v>7</v>
      </c>
      <c r="G72">
        <v>0</v>
      </c>
      <c r="H72" t="s">
        <v>37</v>
      </c>
      <c r="I72">
        <v>0</v>
      </c>
      <c r="J72">
        <v>1.1000000000000001</v>
      </c>
      <c r="K72">
        <v>0.5</v>
      </c>
      <c r="L72">
        <v>0.42875000000000002</v>
      </c>
      <c r="M72">
        <v>0.84</v>
      </c>
      <c r="N72">
        <v>0</v>
      </c>
      <c r="O72">
        <v>0</v>
      </c>
    </row>
    <row r="73" spans="1:15" x14ac:dyDescent="0.45">
      <c r="A73" t="s">
        <v>39</v>
      </c>
      <c r="B73">
        <v>14</v>
      </c>
      <c r="C73" t="s">
        <v>37</v>
      </c>
      <c r="D73">
        <v>5.25</v>
      </c>
      <c r="E73">
        <v>7</v>
      </c>
      <c r="G73">
        <v>0</v>
      </c>
      <c r="H73" t="s">
        <v>37</v>
      </c>
      <c r="I73">
        <v>0</v>
      </c>
      <c r="J73">
        <v>1.1000000000000001</v>
      </c>
      <c r="K73">
        <v>0.5</v>
      </c>
      <c r="L73">
        <v>0.42875000000000002</v>
      </c>
      <c r="M73">
        <v>0.84</v>
      </c>
      <c r="N73">
        <v>0</v>
      </c>
      <c r="O73">
        <v>0</v>
      </c>
    </row>
    <row r="74" spans="1:15" x14ac:dyDescent="0.45">
      <c r="A74" t="s">
        <v>39</v>
      </c>
      <c r="B74">
        <v>15</v>
      </c>
      <c r="C74" t="s">
        <v>37</v>
      </c>
      <c r="D74">
        <v>5.25</v>
      </c>
      <c r="E74">
        <v>7</v>
      </c>
      <c r="G74">
        <v>0</v>
      </c>
      <c r="H74" t="s">
        <v>37</v>
      </c>
      <c r="I74">
        <v>0</v>
      </c>
      <c r="J74">
        <v>1.1000000000000001</v>
      </c>
      <c r="K74">
        <v>0.5</v>
      </c>
      <c r="L74">
        <v>0.42875000000000002</v>
      </c>
      <c r="M74">
        <v>0.84</v>
      </c>
      <c r="N74">
        <v>0</v>
      </c>
      <c r="O74">
        <v>0</v>
      </c>
    </row>
    <row r="75" spans="1:15" x14ac:dyDescent="0.45">
      <c r="A75" t="s">
        <v>39</v>
      </c>
      <c r="B75">
        <v>16</v>
      </c>
      <c r="C75" t="s">
        <v>37</v>
      </c>
      <c r="D75">
        <v>5.25</v>
      </c>
      <c r="E75">
        <v>7</v>
      </c>
      <c r="G75">
        <v>0</v>
      </c>
      <c r="H75" t="s">
        <v>37</v>
      </c>
      <c r="I75">
        <v>0</v>
      </c>
      <c r="J75">
        <v>1.1000000000000001</v>
      </c>
      <c r="K75">
        <v>0.5</v>
      </c>
      <c r="L75">
        <v>0.42875000000000002</v>
      </c>
      <c r="M75">
        <v>0.84</v>
      </c>
      <c r="N75">
        <v>0</v>
      </c>
      <c r="O75">
        <v>0</v>
      </c>
    </row>
    <row r="76" spans="1:15" x14ac:dyDescent="0.45">
      <c r="A76" t="s">
        <v>39</v>
      </c>
      <c r="B76">
        <v>17</v>
      </c>
      <c r="C76" t="s">
        <v>37</v>
      </c>
      <c r="D76">
        <v>5.25</v>
      </c>
      <c r="E76">
        <v>7</v>
      </c>
      <c r="G76">
        <v>0</v>
      </c>
      <c r="H76" t="s">
        <v>37</v>
      </c>
      <c r="I76">
        <v>0</v>
      </c>
      <c r="J76">
        <v>1.1000000000000001</v>
      </c>
      <c r="K76">
        <v>0.5</v>
      </c>
      <c r="L76">
        <v>0.42875000000000002</v>
      </c>
      <c r="M76">
        <v>0.84</v>
      </c>
      <c r="N76">
        <v>0</v>
      </c>
      <c r="O76">
        <v>0</v>
      </c>
    </row>
    <row r="77" spans="1:15" x14ac:dyDescent="0.45">
      <c r="A77" t="s">
        <v>39</v>
      </c>
      <c r="B77">
        <v>18</v>
      </c>
      <c r="C77" t="s">
        <v>37</v>
      </c>
      <c r="D77">
        <v>5.25</v>
      </c>
      <c r="E77">
        <v>7</v>
      </c>
      <c r="G77">
        <v>0</v>
      </c>
      <c r="H77" t="s">
        <v>37</v>
      </c>
      <c r="I77">
        <v>0</v>
      </c>
      <c r="J77">
        <v>1.1000000000000001</v>
      </c>
      <c r="K77">
        <v>0.5</v>
      </c>
      <c r="L77">
        <v>0.42875000000000002</v>
      </c>
      <c r="M77">
        <v>0.84</v>
      </c>
      <c r="N77">
        <v>0</v>
      </c>
      <c r="O77">
        <v>0</v>
      </c>
    </row>
    <row r="78" spans="1:15" x14ac:dyDescent="0.45">
      <c r="A78" t="s">
        <v>39</v>
      </c>
      <c r="B78">
        <v>19</v>
      </c>
      <c r="C78" t="s">
        <v>60</v>
      </c>
      <c r="D78">
        <v>0.75</v>
      </c>
      <c r="E78">
        <v>1</v>
      </c>
      <c r="F78" t="s">
        <v>99</v>
      </c>
      <c r="G78">
        <v>4.5703750000000003</v>
      </c>
      <c r="H78" t="s">
        <v>60</v>
      </c>
      <c r="I78">
        <v>11.2928746835443</v>
      </c>
      <c r="J78">
        <v>1.1000000000000001</v>
      </c>
      <c r="K78">
        <v>0.5</v>
      </c>
      <c r="L78">
        <v>0.42875000000000002</v>
      </c>
      <c r="M78">
        <v>0.12</v>
      </c>
      <c r="N78">
        <v>0</v>
      </c>
      <c r="O78">
        <v>0</v>
      </c>
    </row>
    <row r="79" spans="1:15" x14ac:dyDescent="0.45">
      <c r="A79" t="s">
        <v>39</v>
      </c>
      <c r="B79">
        <v>20</v>
      </c>
      <c r="C79" t="s">
        <v>56</v>
      </c>
      <c r="D79">
        <v>5.25</v>
      </c>
      <c r="E79">
        <v>7</v>
      </c>
      <c r="F79" t="s">
        <v>99</v>
      </c>
      <c r="G79">
        <v>1.0432999999999999</v>
      </c>
      <c r="H79" t="s">
        <v>56</v>
      </c>
      <c r="I79">
        <v>2.5778693670886081</v>
      </c>
      <c r="J79">
        <v>1.1000000000000001</v>
      </c>
      <c r="K79">
        <v>0.5</v>
      </c>
      <c r="L79">
        <v>0.42875000000000002</v>
      </c>
      <c r="M79">
        <v>0.84</v>
      </c>
      <c r="N79">
        <v>0</v>
      </c>
      <c r="O79">
        <v>0</v>
      </c>
    </row>
    <row r="80" spans="1:15" x14ac:dyDescent="0.45">
      <c r="A80" t="s">
        <v>39</v>
      </c>
      <c r="B80">
        <v>21</v>
      </c>
      <c r="C80" t="s">
        <v>56</v>
      </c>
      <c r="D80">
        <v>5.25</v>
      </c>
      <c r="E80">
        <v>7</v>
      </c>
      <c r="G80">
        <v>0</v>
      </c>
      <c r="H80" t="s">
        <v>56</v>
      </c>
      <c r="I80">
        <v>0</v>
      </c>
      <c r="J80">
        <v>1.1000000000000001</v>
      </c>
      <c r="K80">
        <v>0.5</v>
      </c>
      <c r="L80">
        <v>0.42875000000000002</v>
      </c>
      <c r="M80">
        <v>0.84</v>
      </c>
      <c r="N80">
        <v>0</v>
      </c>
      <c r="O80">
        <v>0</v>
      </c>
    </row>
    <row r="81" spans="1:15" hidden="1" x14ac:dyDescent="0.45">
      <c r="A81" t="s">
        <v>39</v>
      </c>
      <c r="B81">
        <v>22</v>
      </c>
      <c r="C81" t="s">
        <v>34</v>
      </c>
      <c r="D81">
        <v>5.25</v>
      </c>
      <c r="E81">
        <v>7</v>
      </c>
      <c r="G81">
        <v>0</v>
      </c>
      <c r="H81" t="s">
        <v>34</v>
      </c>
      <c r="I81">
        <v>0</v>
      </c>
      <c r="J81">
        <v>0</v>
      </c>
      <c r="K81">
        <v>0.5</v>
      </c>
      <c r="L81">
        <v>0.42875000000000002</v>
      </c>
      <c r="M81">
        <v>0.84</v>
      </c>
      <c r="N81">
        <v>0</v>
      </c>
      <c r="O81">
        <v>0</v>
      </c>
    </row>
    <row r="82" spans="1:15" hidden="1" x14ac:dyDescent="0.45">
      <c r="A82" t="s">
        <v>39</v>
      </c>
      <c r="B82">
        <v>23</v>
      </c>
      <c r="C82" t="s">
        <v>34</v>
      </c>
      <c r="D82">
        <v>5.25</v>
      </c>
      <c r="E82">
        <v>7</v>
      </c>
      <c r="G82">
        <v>0</v>
      </c>
      <c r="H82" t="s">
        <v>34</v>
      </c>
      <c r="I82">
        <v>0</v>
      </c>
      <c r="J82">
        <v>0</v>
      </c>
      <c r="K82">
        <v>0.5</v>
      </c>
      <c r="L82">
        <v>0.42875000000000002</v>
      </c>
      <c r="M82">
        <v>0.84</v>
      </c>
      <c r="N82">
        <v>0</v>
      </c>
      <c r="O82">
        <v>0</v>
      </c>
    </row>
    <row r="83" spans="1:15" hidden="1" x14ac:dyDescent="0.45">
      <c r="A83" t="s">
        <v>39</v>
      </c>
      <c r="B83">
        <v>24</v>
      </c>
      <c r="C83" t="s">
        <v>34</v>
      </c>
      <c r="D83">
        <v>5.25</v>
      </c>
      <c r="E83">
        <v>7</v>
      </c>
      <c r="G83">
        <v>0</v>
      </c>
      <c r="H83" t="s">
        <v>34</v>
      </c>
      <c r="I83">
        <v>0</v>
      </c>
      <c r="J83">
        <v>0</v>
      </c>
      <c r="K83">
        <v>0.5</v>
      </c>
      <c r="L83">
        <v>0.42875000000000002</v>
      </c>
      <c r="M83">
        <v>0.84</v>
      </c>
      <c r="N83">
        <v>0</v>
      </c>
      <c r="O83">
        <v>0</v>
      </c>
    </row>
    <row r="84" spans="1:15" x14ac:dyDescent="0.45">
      <c r="A84" t="s">
        <v>41</v>
      </c>
      <c r="B84">
        <v>1</v>
      </c>
      <c r="C84" t="s">
        <v>40</v>
      </c>
      <c r="D84">
        <v>3.8158375000000002</v>
      </c>
      <c r="E84">
        <v>5.0877833333333333</v>
      </c>
      <c r="F84" t="s">
        <v>99</v>
      </c>
      <c r="G84">
        <v>3.1841624999999998</v>
      </c>
      <c r="H84" t="s">
        <v>40</v>
      </c>
      <c r="I84">
        <v>7.8677115189873419</v>
      </c>
      <c r="J84">
        <v>1.1000000000000001</v>
      </c>
      <c r="K84">
        <v>0.5</v>
      </c>
      <c r="L84">
        <v>0.42875000000000002</v>
      </c>
      <c r="M84">
        <v>0.61053400000000002</v>
      </c>
      <c r="N84">
        <v>0.35356962025316457</v>
      </c>
      <c r="O84">
        <v>0</v>
      </c>
    </row>
    <row r="85" spans="1:15" x14ac:dyDescent="0.45">
      <c r="A85" t="s">
        <v>41</v>
      </c>
      <c r="B85">
        <v>2</v>
      </c>
      <c r="C85" t="s">
        <v>40</v>
      </c>
      <c r="D85">
        <v>5.25</v>
      </c>
      <c r="E85">
        <v>7</v>
      </c>
      <c r="G85">
        <v>0</v>
      </c>
      <c r="H85" t="s">
        <v>40</v>
      </c>
      <c r="I85">
        <v>0</v>
      </c>
      <c r="J85">
        <v>1.1000000000000001</v>
      </c>
      <c r="K85">
        <v>0.5</v>
      </c>
      <c r="L85">
        <v>0.42875000000000002</v>
      </c>
      <c r="M85">
        <v>0.84</v>
      </c>
      <c r="N85">
        <v>0</v>
      </c>
      <c r="O85">
        <v>0</v>
      </c>
    </row>
    <row r="86" spans="1:15" x14ac:dyDescent="0.45">
      <c r="A86" t="s">
        <v>41</v>
      </c>
      <c r="B86">
        <v>3</v>
      </c>
      <c r="C86" t="s">
        <v>40</v>
      </c>
      <c r="D86">
        <v>5.25</v>
      </c>
      <c r="E86">
        <v>7</v>
      </c>
      <c r="G86">
        <v>0</v>
      </c>
      <c r="H86" t="s">
        <v>40</v>
      </c>
      <c r="I86">
        <v>0</v>
      </c>
      <c r="J86">
        <v>1.1000000000000001</v>
      </c>
      <c r="K86">
        <v>0.5</v>
      </c>
      <c r="L86">
        <v>0.42875000000000002</v>
      </c>
      <c r="M86">
        <v>0.84</v>
      </c>
      <c r="N86">
        <v>0</v>
      </c>
      <c r="O86">
        <v>0</v>
      </c>
    </row>
    <row r="87" spans="1:15" x14ac:dyDescent="0.45">
      <c r="A87" t="s">
        <v>41</v>
      </c>
      <c r="B87">
        <v>4</v>
      </c>
      <c r="C87" t="s">
        <v>40</v>
      </c>
      <c r="D87">
        <v>5.25</v>
      </c>
      <c r="E87">
        <v>7</v>
      </c>
      <c r="G87">
        <v>0</v>
      </c>
      <c r="H87" t="s">
        <v>40</v>
      </c>
      <c r="I87">
        <v>0</v>
      </c>
      <c r="J87">
        <v>1.1000000000000001</v>
      </c>
      <c r="K87">
        <v>0.5</v>
      </c>
      <c r="L87">
        <v>0.42875000000000002</v>
      </c>
      <c r="M87">
        <v>0.84</v>
      </c>
      <c r="N87">
        <v>0</v>
      </c>
      <c r="O87">
        <v>0</v>
      </c>
    </row>
    <row r="88" spans="1:15" x14ac:dyDescent="0.45">
      <c r="A88" t="s">
        <v>41</v>
      </c>
      <c r="B88">
        <v>5</v>
      </c>
      <c r="C88" t="s">
        <v>40</v>
      </c>
      <c r="D88">
        <v>5.25</v>
      </c>
      <c r="E88">
        <v>7</v>
      </c>
      <c r="G88">
        <v>0</v>
      </c>
      <c r="H88" t="s">
        <v>40</v>
      </c>
      <c r="I88">
        <v>0</v>
      </c>
      <c r="J88">
        <v>1.1000000000000001</v>
      </c>
      <c r="K88">
        <v>0.5</v>
      </c>
      <c r="L88">
        <v>0.42875000000000002</v>
      </c>
      <c r="M88">
        <v>0.84</v>
      </c>
      <c r="N88">
        <v>0</v>
      </c>
      <c r="O88">
        <v>0</v>
      </c>
    </row>
    <row r="89" spans="1:15" x14ac:dyDescent="0.45">
      <c r="A89" t="s">
        <v>41</v>
      </c>
      <c r="B89">
        <v>6</v>
      </c>
      <c r="C89" t="s">
        <v>40</v>
      </c>
      <c r="D89">
        <v>5.25</v>
      </c>
      <c r="E89">
        <v>7</v>
      </c>
      <c r="G89">
        <v>0</v>
      </c>
      <c r="H89" t="s">
        <v>40</v>
      </c>
      <c r="I89">
        <v>0</v>
      </c>
      <c r="J89">
        <v>1.1000000000000001</v>
      </c>
      <c r="K89">
        <v>0.5</v>
      </c>
      <c r="L89">
        <v>0.42875000000000002</v>
      </c>
      <c r="M89">
        <v>0.84</v>
      </c>
      <c r="N89">
        <v>0</v>
      </c>
      <c r="O89">
        <v>0</v>
      </c>
    </row>
    <row r="90" spans="1:15" x14ac:dyDescent="0.45">
      <c r="A90" t="s">
        <v>41</v>
      </c>
      <c r="B90">
        <v>7</v>
      </c>
      <c r="C90" t="s">
        <v>40</v>
      </c>
      <c r="D90">
        <v>5.25</v>
      </c>
      <c r="E90">
        <v>7</v>
      </c>
      <c r="G90">
        <v>0</v>
      </c>
      <c r="H90" t="s">
        <v>40</v>
      </c>
      <c r="I90">
        <v>0</v>
      </c>
      <c r="J90">
        <v>1.1000000000000001</v>
      </c>
      <c r="K90">
        <v>0.5</v>
      </c>
      <c r="L90">
        <v>0.42875000000000002</v>
      </c>
      <c r="M90">
        <v>0.84</v>
      </c>
      <c r="N90">
        <v>0</v>
      </c>
      <c r="O90">
        <v>0</v>
      </c>
    </row>
    <row r="91" spans="1:15" x14ac:dyDescent="0.45">
      <c r="A91" t="s">
        <v>41</v>
      </c>
      <c r="B91">
        <v>8</v>
      </c>
      <c r="C91" t="s">
        <v>40</v>
      </c>
      <c r="D91">
        <v>5.25</v>
      </c>
      <c r="E91">
        <v>7</v>
      </c>
      <c r="G91">
        <v>0</v>
      </c>
      <c r="H91" t="s">
        <v>40</v>
      </c>
      <c r="I91">
        <v>0</v>
      </c>
      <c r="J91">
        <v>1.1000000000000001</v>
      </c>
      <c r="K91">
        <v>0.5</v>
      </c>
      <c r="L91">
        <v>0.42875000000000002</v>
      </c>
      <c r="M91">
        <v>0.84</v>
      </c>
      <c r="N91">
        <v>0</v>
      </c>
      <c r="O91">
        <v>0</v>
      </c>
    </row>
    <row r="92" spans="1:15" x14ac:dyDescent="0.45">
      <c r="A92" t="s">
        <v>41</v>
      </c>
      <c r="B92">
        <v>9</v>
      </c>
      <c r="C92" t="s">
        <v>40</v>
      </c>
      <c r="D92">
        <v>5.25</v>
      </c>
      <c r="E92">
        <v>7</v>
      </c>
      <c r="G92">
        <v>0</v>
      </c>
      <c r="H92" t="s">
        <v>40</v>
      </c>
      <c r="I92">
        <v>0</v>
      </c>
      <c r="J92">
        <v>1.1000000000000001</v>
      </c>
      <c r="K92">
        <v>0.5</v>
      </c>
      <c r="L92">
        <v>0.42875000000000002</v>
      </c>
      <c r="M92">
        <v>0.84</v>
      </c>
      <c r="N92">
        <v>0</v>
      </c>
      <c r="O92">
        <v>0</v>
      </c>
    </row>
    <row r="93" spans="1:15" x14ac:dyDescent="0.45">
      <c r="A93" t="s">
        <v>41</v>
      </c>
      <c r="B93">
        <v>10</v>
      </c>
      <c r="C93" t="s">
        <v>40</v>
      </c>
      <c r="D93">
        <v>5.25</v>
      </c>
      <c r="E93">
        <v>7</v>
      </c>
      <c r="G93">
        <v>0</v>
      </c>
      <c r="H93" t="s">
        <v>40</v>
      </c>
      <c r="I93">
        <v>0</v>
      </c>
      <c r="J93">
        <v>1.1000000000000001</v>
      </c>
      <c r="K93">
        <v>0.5</v>
      </c>
      <c r="L93">
        <v>0.42875000000000002</v>
      </c>
      <c r="M93">
        <v>0.84</v>
      </c>
      <c r="N93">
        <v>0</v>
      </c>
      <c r="O93">
        <v>0</v>
      </c>
    </row>
    <row r="94" spans="1:15" x14ac:dyDescent="0.45">
      <c r="A94" t="s">
        <v>41</v>
      </c>
      <c r="B94">
        <v>11</v>
      </c>
      <c r="C94" t="s">
        <v>40</v>
      </c>
      <c r="D94">
        <v>5.25</v>
      </c>
      <c r="E94">
        <v>7</v>
      </c>
      <c r="G94">
        <v>0</v>
      </c>
      <c r="H94" t="s">
        <v>40</v>
      </c>
      <c r="I94">
        <v>0</v>
      </c>
      <c r="J94">
        <v>1.1000000000000001</v>
      </c>
      <c r="K94">
        <v>0.5</v>
      </c>
      <c r="L94">
        <v>0.42875000000000002</v>
      </c>
      <c r="M94">
        <v>0.84</v>
      </c>
      <c r="N94">
        <v>0</v>
      </c>
      <c r="O94">
        <v>0</v>
      </c>
    </row>
    <row r="95" spans="1:15" x14ac:dyDescent="0.45">
      <c r="A95" t="s">
        <v>41</v>
      </c>
      <c r="B95">
        <v>12</v>
      </c>
      <c r="C95" t="s">
        <v>40</v>
      </c>
      <c r="D95">
        <v>5.25</v>
      </c>
      <c r="E95">
        <v>7</v>
      </c>
      <c r="G95">
        <v>0</v>
      </c>
      <c r="H95" t="s">
        <v>40</v>
      </c>
      <c r="I95">
        <v>0</v>
      </c>
      <c r="J95">
        <v>1.1000000000000001</v>
      </c>
      <c r="K95">
        <v>0.5</v>
      </c>
      <c r="L95">
        <v>0.42875000000000002</v>
      </c>
      <c r="M95">
        <v>0.84</v>
      </c>
      <c r="N95">
        <v>0</v>
      </c>
      <c r="O95">
        <v>0</v>
      </c>
    </row>
    <row r="96" spans="1:15" x14ac:dyDescent="0.45">
      <c r="A96" t="s">
        <v>41</v>
      </c>
      <c r="B96">
        <v>13</v>
      </c>
      <c r="C96" t="s">
        <v>40</v>
      </c>
      <c r="D96">
        <v>5.25</v>
      </c>
      <c r="E96">
        <v>7</v>
      </c>
      <c r="G96">
        <v>0</v>
      </c>
      <c r="H96" t="s">
        <v>40</v>
      </c>
      <c r="I96">
        <v>0</v>
      </c>
      <c r="J96">
        <v>1.1000000000000001</v>
      </c>
      <c r="K96">
        <v>0.5</v>
      </c>
      <c r="L96">
        <v>0.42875000000000002</v>
      </c>
      <c r="M96">
        <v>0.84</v>
      </c>
      <c r="N96">
        <v>0</v>
      </c>
      <c r="O96">
        <v>0</v>
      </c>
    </row>
    <row r="97" spans="1:15" x14ac:dyDescent="0.45">
      <c r="A97" t="s">
        <v>41</v>
      </c>
      <c r="B97">
        <v>14</v>
      </c>
      <c r="C97" t="s">
        <v>40</v>
      </c>
      <c r="D97">
        <v>5.25</v>
      </c>
      <c r="E97">
        <v>7</v>
      </c>
      <c r="G97">
        <v>0</v>
      </c>
      <c r="H97" t="s">
        <v>40</v>
      </c>
      <c r="I97">
        <v>0</v>
      </c>
      <c r="J97">
        <v>1.1000000000000001</v>
      </c>
      <c r="K97">
        <v>0.5</v>
      </c>
      <c r="L97">
        <v>0.42875000000000002</v>
      </c>
      <c r="M97">
        <v>0.84</v>
      </c>
      <c r="N97">
        <v>0</v>
      </c>
      <c r="O97">
        <v>0</v>
      </c>
    </row>
    <row r="98" spans="1:15" x14ac:dyDescent="0.45">
      <c r="A98" t="s">
        <v>41</v>
      </c>
      <c r="B98">
        <v>15</v>
      </c>
      <c r="C98" t="s">
        <v>40</v>
      </c>
      <c r="D98">
        <v>5.1841624999999993</v>
      </c>
      <c r="E98">
        <v>6.9122166666666658</v>
      </c>
      <c r="G98">
        <v>0</v>
      </c>
      <c r="H98" t="s">
        <v>40</v>
      </c>
      <c r="I98">
        <v>0</v>
      </c>
      <c r="J98">
        <v>1.1000000000000001</v>
      </c>
      <c r="K98">
        <v>0.5</v>
      </c>
      <c r="L98">
        <v>0.42875000000000002</v>
      </c>
      <c r="M98">
        <v>0.82946599999999981</v>
      </c>
      <c r="N98">
        <v>0</v>
      </c>
      <c r="O98">
        <v>0</v>
      </c>
    </row>
    <row r="99" spans="1:15" x14ac:dyDescent="0.45">
      <c r="A99" t="s">
        <v>41</v>
      </c>
      <c r="B99">
        <v>16</v>
      </c>
      <c r="C99" t="s">
        <v>53</v>
      </c>
      <c r="D99">
        <v>5.25</v>
      </c>
      <c r="E99">
        <v>7</v>
      </c>
      <c r="F99" t="s">
        <v>99</v>
      </c>
      <c r="G99">
        <v>0.81828749999999995</v>
      </c>
      <c r="H99" t="s">
        <v>53</v>
      </c>
      <c r="I99">
        <v>2.02189</v>
      </c>
      <c r="J99">
        <v>1.1000000000000001</v>
      </c>
      <c r="K99">
        <v>0.5</v>
      </c>
      <c r="L99">
        <v>0.42875000000000002</v>
      </c>
      <c r="M99">
        <v>0.84</v>
      </c>
      <c r="N99">
        <v>1.2976708860759489</v>
      </c>
      <c r="O99">
        <v>0</v>
      </c>
    </row>
    <row r="100" spans="1:15" x14ac:dyDescent="0.45">
      <c r="A100" t="s">
        <v>41</v>
      </c>
      <c r="B100">
        <v>17</v>
      </c>
      <c r="C100" t="s">
        <v>53</v>
      </c>
      <c r="D100">
        <v>5.25</v>
      </c>
      <c r="E100">
        <v>7</v>
      </c>
      <c r="G100">
        <v>0</v>
      </c>
      <c r="H100" t="s">
        <v>53</v>
      </c>
      <c r="I100">
        <v>0</v>
      </c>
      <c r="J100">
        <v>1.1000000000000001</v>
      </c>
      <c r="K100">
        <v>0.5</v>
      </c>
      <c r="L100">
        <v>0.42875000000000002</v>
      </c>
      <c r="M100">
        <v>0.84</v>
      </c>
      <c r="N100">
        <v>0</v>
      </c>
      <c r="O100">
        <v>0</v>
      </c>
    </row>
    <row r="101" spans="1:15" x14ac:dyDescent="0.45">
      <c r="A101" t="s">
        <v>41</v>
      </c>
      <c r="B101">
        <v>18</v>
      </c>
      <c r="C101" t="s">
        <v>53</v>
      </c>
      <c r="D101">
        <v>5.25</v>
      </c>
      <c r="E101">
        <v>7</v>
      </c>
      <c r="G101">
        <v>0</v>
      </c>
      <c r="H101" t="s">
        <v>53</v>
      </c>
      <c r="I101">
        <v>0</v>
      </c>
      <c r="J101">
        <v>1.1000000000000001</v>
      </c>
      <c r="K101">
        <v>0.5</v>
      </c>
      <c r="L101">
        <v>0.42875000000000002</v>
      </c>
      <c r="M101">
        <v>0.84</v>
      </c>
      <c r="N101">
        <v>0</v>
      </c>
      <c r="O101">
        <v>0</v>
      </c>
    </row>
    <row r="102" spans="1:15" x14ac:dyDescent="0.45">
      <c r="A102" t="s">
        <v>41</v>
      </c>
      <c r="B102">
        <v>19</v>
      </c>
      <c r="C102" t="s">
        <v>53</v>
      </c>
      <c r="D102">
        <v>0.75</v>
      </c>
      <c r="E102">
        <v>1</v>
      </c>
      <c r="G102">
        <v>0</v>
      </c>
      <c r="H102" t="s">
        <v>53</v>
      </c>
      <c r="I102">
        <v>0</v>
      </c>
      <c r="J102">
        <v>1.1000000000000001</v>
      </c>
      <c r="K102">
        <v>0.5</v>
      </c>
      <c r="L102">
        <v>0.42875000000000002</v>
      </c>
      <c r="M102">
        <v>0.12</v>
      </c>
      <c r="N102">
        <v>0</v>
      </c>
      <c r="O102">
        <v>0</v>
      </c>
    </row>
    <row r="103" spans="1:15" x14ac:dyDescent="0.45">
      <c r="A103" t="s">
        <v>41</v>
      </c>
      <c r="B103">
        <v>20</v>
      </c>
      <c r="C103" t="s">
        <v>52</v>
      </c>
      <c r="D103">
        <v>1.197025</v>
      </c>
      <c r="E103">
        <v>1.596033333333333</v>
      </c>
      <c r="F103" t="s">
        <v>99</v>
      </c>
      <c r="G103">
        <v>5.802975</v>
      </c>
      <c r="H103" t="s">
        <v>52</v>
      </c>
      <c r="I103">
        <v>14.3384817721519</v>
      </c>
      <c r="J103">
        <v>1.1000000000000001</v>
      </c>
      <c r="K103">
        <v>0.5</v>
      </c>
      <c r="L103">
        <v>0.42875000000000002</v>
      </c>
      <c r="M103">
        <v>0.191524</v>
      </c>
      <c r="N103">
        <v>0.37516455696202528</v>
      </c>
      <c r="O103">
        <v>0</v>
      </c>
    </row>
    <row r="104" spans="1:15" x14ac:dyDescent="0.45">
      <c r="A104" t="s">
        <v>41</v>
      </c>
      <c r="B104">
        <v>21</v>
      </c>
      <c r="C104" t="s">
        <v>52</v>
      </c>
      <c r="D104">
        <v>5.25</v>
      </c>
      <c r="E104">
        <v>7</v>
      </c>
      <c r="G104">
        <v>0</v>
      </c>
      <c r="H104" t="s">
        <v>52</v>
      </c>
      <c r="I104">
        <v>0</v>
      </c>
      <c r="J104">
        <v>1.1000000000000001</v>
      </c>
      <c r="K104">
        <v>0.5</v>
      </c>
      <c r="L104">
        <v>0.42875000000000002</v>
      </c>
      <c r="M104">
        <v>0.84</v>
      </c>
      <c r="N104">
        <v>0</v>
      </c>
      <c r="O104">
        <v>0</v>
      </c>
    </row>
    <row r="105" spans="1:15" x14ac:dyDescent="0.45">
      <c r="A105" t="s">
        <v>41</v>
      </c>
      <c r="B105">
        <v>22</v>
      </c>
      <c r="C105" t="s">
        <v>52</v>
      </c>
      <c r="D105">
        <v>5.25</v>
      </c>
      <c r="E105">
        <v>7</v>
      </c>
      <c r="G105">
        <v>0</v>
      </c>
      <c r="H105" t="s">
        <v>52</v>
      </c>
      <c r="I105">
        <v>0</v>
      </c>
      <c r="J105">
        <v>1.1000000000000001</v>
      </c>
      <c r="K105">
        <v>0.5</v>
      </c>
      <c r="L105">
        <v>0.42875000000000002</v>
      </c>
      <c r="M105">
        <v>0.84</v>
      </c>
      <c r="N105">
        <v>0</v>
      </c>
      <c r="O105">
        <v>0</v>
      </c>
    </row>
    <row r="106" spans="1:15" x14ac:dyDescent="0.45">
      <c r="A106" t="s">
        <v>41</v>
      </c>
      <c r="B106">
        <v>23</v>
      </c>
      <c r="C106" t="s">
        <v>52</v>
      </c>
      <c r="D106">
        <v>4.802975</v>
      </c>
      <c r="E106">
        <v>6.4039666666666664</v>
      </c>
      <c r="G106">
        <v>0</v>
      </c>
      <c r="H106" t="s">
        <v>52</v>
      </c>
      <c r="I106">
        <v>0</v>
      </c>
      <c r="J106">
        <v>1.1000000000000001</v>
      </c>
      <c r="K106">
        <v>0.5</v>
      </c>
      <c r="L106">
        <v>0.42875000000000002</v>
      </c>
      <c r="M106">
        <v>0.76847599999999994</v>
      </c>
      <c r="N106">
        <v>0</v>
      </c>
      <c r="O106">
        <v>0</v>
      </c>
    </row>
    <row r="107" spans="1:15" x14ac:dyDescent="0.45">
      <c r="A107" t="s">
        <v>43</v>
      </c>
      <c r="B107">
        <v>1</v>
      </c>
      <c r="C107" t="s">
        <v>63</v>
      </c>
      <c r="D107">
        <v>3</v>
      </c>
      <c r="E107">
        <v>4</v>
      </c>
      <c r="F107" t="s">
        <v>99</v>
      </c>
      <c r="G107">
        <v>1.4437</v>
      </c>
      <c r="H107" t="s">
        <v>63</v>
      </c>
      <c r="I107">
        <v>3.66847493670886</v>
      </c>
      <c r="J107">
        <v>1.1000000000000001</v>
      </c>
      <c r="K107">
        <v>0.5</v>
      </c>
      <c r="L107">
        <v>0.42875000000000002</v>
      </c>
      <c r="M107">
        <v>0.48</v>
      </c>
      <c r="N107">
        <v>0</v>
      </c>
      <c r="O107">
        <v>0</v>
      </c>
    </row>
    <row r="108" spans="1:15" x14ac:dyDescent="0.45">
      <c r="A108" t="s">
        <v>43</v>
      </c>
      <c r="B108">
        <v>2</v>
      </c>
      <c r="C108" t="s">
        <v>42</v>
      </c>
      <c r="D108">
        <v>5.25</v>
      </c>
      <c r="E108">
        <v>7</v>
      </c>
      <c r="F108" t="s">
        <v>99</v>
      </c>
      <c r="G108">
        <v>1.5438750000000001</v>
      </c>
      <c r="H108" t="s">
        <v>42</v>
      </c>
      <c r="I108">
        <v>3.8147430379746829</v>
      </c>
      <c r="J108">
        <v>1.1000000000000001</v>
      </c>
      <c r="K108">
        <v>0.5</v>
      </c>
      <c r="L108">
        <v>0.42875000000000002</v>
      </c>
      <c r="M108">
        <v>0.84</v>
      </c>
      <c r="N108">
        <v>0</v>
      </c>
      <c r="O108">
        <v>0</v>
      </c>
    </row>
    <row r="109" spans="1:15" x14ac:dyDescent="0.45">
      <c r="A109" t="s">
        <v>43</v>
      </c>
      <c r="B109">
        <v>3</v>
      </c>
      <c r="C109" t="s">
        <v>42</v>
      </c>
      <c r="D109">
        <v>5.25</v>
      </c>
      <c r="E109">
        <v>7</v>
      </c>
      <c r="G109">
        <v>0</v>
      </c>
      <c r="H109" t="s">
        <v>42</v>
      </c>
      <c r="I109">
        <v>0</v>
      </c>
      <c r="J109">
        <v>1.1000000000000001</v>
      </c>
      <c r="K109">
        <v>0.5</v>
      </c>
      <c r="L109">
        <v>0.42875000000000002</v>
      </c>
      <c r="M109">
        <v>0.84</v>
      </c>
      <c r="N109">
        <v>0</v>
      </c>
      <c r="O109">
        <v>0</v>
      </c>
    </row>
    <row r="110" spans="1:15" x14ac:dyDescent="0.45">
      <c r="A110" t="s">
        <v>43</v>
      </c>
      <c r="B110">
        <v>4</v>
      </c>
      <c r="C110" t="s">
        <v>42</v>
      </c>
      <c r="D110">
        <v>5.25</v>
      </c>
      <c r="E110">
        <v>7</v>
      </c>
      <c r="G110">
        <v>0</v>
      </c>
      <c r="H110" t="s">
        <v>42</v>
      </c>
      <c r="I110">
        <v>0</v>
      </c>
      <c r="J110">
        <v>1.1000000000000001</v>
      </c>
      <c r="K110">
        <v>0.5</v>
      </c>
      <c r="L110">
        <v>0.42875000000000002</v>
      </c>
      <c r="M110">
        <v>0.84</v>
      </c>
      <c r="N110">
        <v>0</v>
      </c>
      <c r="O110">
        <v>0</v>
      </c>
    </row>
    <row r="111" spans="1:15" x14ac:dyDescent="0.45">
      <c r="A111" t="s">
        <v>43</v>
      </c>
      <c r="B111">
        <v>5</v>
      </c>
      <c r="C111" t="s">
        <v>42</v>
      </c>
      <c r="D111">
        <v>5.25</v>
      </c>
      <c r="E111">
        <v>7</v>
      </c>
      <c r="G111">
        <v>0</v>
      </c>
      <c r="H111" t="s">
        <v>42</v>
      </c>
      <c r="I111">
        <v>0</v>
      </c>
      <c r="J111">
        <v>1.1000000000000001</v>
      </c>
      <c r="K111">
        <v>0.5</v>
      </c>
      <c r="L111">
        <v>0.42875000000000002</v>
      </c>
      <c r="M111">
        <v>0.84</v>
      </c>
      <c r="N111">
        <v>0</v>
      </c>
      <c r="O111">
        <v>0</v>
      </c>
    </row>
    <row r="112" spans="1:15" x14ac:dyDescent="0.45">
      <c r="A112" t="s">
        <v>43</v>
      </c>
      <c r="B112">
        <v>6</v>
      </c>
      <c r="C112" t="s">
        <v>42</v>
      </c>
      <c r="D112">
        <v>5.25</v>
      </c>
      <c r="E112">
        <v>7</v>
      </c>
      <c r="G112">
        <v>0</v>
      </c>
      <c r="H112" t="s">
        <v>42</v>
      </c>
      <c r="I112">
        <v>0</v>
      </c>
      <c r="J112">
        <v>1.1000000000000001</v>
      </c>
      <c r="K112">
        <v>0.5</v>
      </c>
      <c r="L112">
        <v>0.42875000000000002</v>
      </c>
      <c r="M112">
        <v>0.84</v>
      </c>
      <c r="N112">
        <v>0</v>
      </c>
      <c r="O112">
        <v>0</v>
      </c>
    </row>
    <row r="113" spans="1:15" x14ac:dyDescent="0.45">
      <c r="A113" t="s">
        <v>43</v>
      </c>
      <c r="B113">
        <v>7</v>
      </c>
      <c r="C113" t="s">
        <v>42</v>
      </c>
      <c r="D113">
        <v>5.25</v>
      </c>
      <c r="E113">
        <v>7</v>
      </c>
      <c r="G113">
        <v>0</v>
      </c>
      <c r="H113" t="s">
        <v>42</v>
      </c>
      <c r="I113">
        <v>0</v>
      </c>
      <c r="J113">
        <v>1.1000000000000001</v>
      </c>
      <c r="K113">
        <v>0.5</v>
      </c>
      <c r="L113">
        <v>0.42875000000000002</v>
      </c>
      <c r="M113">
        <v>0.84</v>
      </c>
      <c r="N113">
        <v>0</v>
      </c>
      <c r="O113">
        <v>0</v>
      </c>
    </row>
    <row r="114" spans="1:15" x14ac:dyDescent="0.45">
      <c r="A114" t="s">
        <v>43</v>
      </c>
      <c r="B114">
        <v>8</v>
      </c>
      <c r="C114" t="s">
        <v>42</v>
      </c>
      <c r="D114">
        <v>5.25</v>
      </c>
      <c r="E114">
        <v>7</v>
      </c>
      <c r="G114">
        <v>0</v>
      </c>
      <c r="H114" t="s">
        <v>42</v>
      </c>
      <c r="I114">
        <v>0</v>
      </c>
      <c r="J114">
        <v>1.1000000000000001</v>
      </c>
      <c r="K114">
        <v>0.5</v>
      </c>
      <c r="L114">
        <v>0.42875000000000002</v>
      </c>
      <c r="M114">
        <v>0.84</v>
      </c>
      <c r="N114">
        <v>0</v>
      </c>
      <c r="O114">
        <v>0</v>
      </c>
    </row>
    <row r="115" spans="1:15" x14ac:dyDescent="0.45">
      <c r="A115" t="s">
        <v>43</v>
      </c>
      <c r="B115">
        <v>9</v>
      </c>
      <c r="C115" t="s">
        <v>42</v>
      </c>
      <c r="D115">
        <v>5.25</v>
      </c>
      <c r="E115">
        <v>7</v>
      </c>
      <c r="G115">
        <v>0</v>
      </c>
      <c r="H115" t="s">
        <v>42</v>
      </c>
      <c r="I115">
        <v>0</v>
      </c>
      <c r="J115">
        <v>1.1000000000000001</v>
      </c>
      <c r="K115">
        <v>0.5</v>
      </c>
      <c r="L115">
        <v>0.42875000000000002</v>
      </c>
      <c r="M115">
        <v>0.84</v>
      </c>
      <c r="N115">
        <v>0</v>
      </c>
      <c r="O115">
        <v>0</v>
      </c>
    </row>
    <row r="116" spans="1:15" x14ac:dyDescent="0.45">
      <c r="A116" t="s">
        <v>43</v>
      </c>
      <c r="B116">
        <v>10</v>
      </c>
      <c r="C116" t="s">
        <v>42</v>
      </c>
      <c r="D116">
        <v>5.25</v>
      </c>
      <c r="E116">
        <v>7</v>
      </c>
      <c r="G116">
        <v>0</v>
      </c>
      <c r="H116" t="s">
        <v>42</v>
      </c>
      <c r="I116">
        <v>0</v>
      </c>
      <c r="J116">
        <v>1.1000000000000001</v>
      </c>
      <c r="K116">
        <v>0.5</v>
      </c>
      <c r="L116">
        <v>0.42875000000000002</v>
      </c>
      <c r="M116">
        <v>0.84</v>
      </c>
      <c r="N116">
        <v>0</v>
      </c>
      <c r="O116">
        <v>0</v>
      </c>
    </row>
    <row r="117" spans="1:15" x14ac:dyDescent="0.45">
      <c r="A117" t="s">
        <v>43</v>
      </c>
      <c r="B117">
        <v>11</v>
      </c>
      <c r="C117" t="s">
        <v>42</v>
      </c>
      <c r="D117">
        <v>5.25</v>
      </c>
      <c r="E117">
        <v>7</v>
      </c>
      <c r="G117">
        <v>0</v>
      </c>
      <c r="H117" t="s">
        <v>42</v>
      </c>
      <c r="I117">
        <v>0</v>
      </c>
      <c r="J117">
        <v>1.1000000000000001</v>
      </c>
      <c r="K117">
        <v>0.5</v>
      </c>
      <c r="L117">
        <v>0.42875000000000002</v>
      </c>
      <c r="M117">
        <v>0.84</v>
      </c>
      <c r="N117">
        <v>0</v>
      </c>
      <c r="O117">
        <v>0</v>
      </c>
    </row>
    <row r="118" spans="1:15" x14ac:dyDescent="0.45">
      <c r="A118" t="s">
        <v>43</v>
      </c>
      <c r="B118">
        <v>12</v>
      </c>
      <c r="C118" t="s">
        <v>42</v>
      </c>
      <c r="D118">
        <v>0.75</v>
      </c>
      <c r="E118">
        <v>1</v>
      </c>
      <c r="G118">
        <v>0</v>
      </c>
      <c r="H118" t="s">
        <v>42</v>
      </c>
      <c r="I118">
        <v>0</v>
      </c>
      <c r="J118">
        <v>1.1000000000000001</v>
      </c>
      <c r="K118">
        <v>0.5</v>
      </c>
      <c r="L118">
        <v>0.42875000000000002</v>
      </c>
      <c r="M118">
        <v>0.12</v>
      </c>
      <c r="N118">
        <v>0</v>
      </c>
      <c r="O118">
        <v>0</v>
      </c>
    </row>
    <row r="119" spans="1:15" x14ac:dyDescent="0.45">
      <c r="A119" t="s">
        <v>43</v>
      </c>
      <c r="B119">
        <v>13</v>
      </c>
      <c r="C119" t="s">
        <v>49</v>
      </c>
      <c r="D119">
        <v>5.25</v>
      </c>
      <c r="E119">
        <v>7</v>
      </c>
      <c r="F119" t="s">
        <v>99</v>
      </c>
      <c r="G119">
        <v>0.30728749999999999</v>
      </c>
      <c r="H119" t="s">
        <v>49</v>
      </c>
      <c r="I119">
        <v>0.75926215189873414</v>
      </c>
      <c r="J119">
        <v>1.1000000000000001</v>
      </c>
      <c r="K119">
        <v>0.5</v>
      </c>
      <c r="L119">
        <v>0.42875000000000002</v>
      </c>
      <c r="M119">
        <v>0.84</v>
      </c>
      <c r="N119">
        <v>0</v>
      </c>
      <c r="O119">
        <v>0</v>
      </c>
    </row>
    <row r="120" spans="1:15" x14ac:dyDescent="0.45">
      <c r="A120" t="s">
        <v>43</v>
      </c>
      <c r="B120">
        <v>14</v>
      </c>
      <c r="C120" t="s">
        <v>49</v>
      </c>
      <c r="D120">
        <v>5.25</v>
      </c>
      <c r="E120">
        <v>7</v>
      </c>
      <c r="G120">
        <v>0</v>
      </c>
      <c r="H120" t="s">
        <v>49</v>
      </c>
      <c r="I120">
        <v>0</v>
      </c>
      <c r="J120">
        <v>1.1000000000000001</v>
      </c>
      <c r="K120">
        <v>0.5</v>
      </c>
      <c r="L120">
        <v>0.42875000000000002</v>
      </c>
      <c r="M120">
        <v>0.84</v>
      </c>
      <c r="N120">
        <v>0</v>
      </c>
      <c r="O120">
        <v>0</v>
      </c>
    </row>
    <row r="121" spans="1:15" x14ac:dyDescent="0.45">
      <c r="A121" t="s">
        <v>43</v>
      </c>
      <c r="B121">
        <v>15</v>
      </c>
      <c r="C121" t="s">
        <v>49</v>
      </c>
      <c r="D121">
        <v>5.25</v>
      </c>
      <c r="E121">
        <v>7</v>
      </c>
      <c r="G121">
        <v>0</v>
      </c>
      <c r="H121" t="s">
        <v>49</v>
      </c>
      <c r="I121">
        <v>0</v>
      </c>
      <c r="J121">
        <v>1.1000000000000001</v>
      </c>
      <c r="K121">
        <v>0.5</v>
      </c>
      <c r="L121">
        <v>0.42875000000000002</v>
      </c>
      <c r="M121">
        <v>0.84</v>
      </c>
      <c r="N121">
        <v>0</v>
      </c>
      <c r="O121">
        <v>0</v>
      </c>
    </row>
    <row r="122" spans="1:15" x14ac:dyDescent="0.45">
      <c r="A122" t="s">
        <v>43</v>
      </c>
      <c r="B122">
        <v>16</v>
      </c>
      <c r="C122" t="s">
        <v>49</v>
      </c>
      <c r="D122">
        <v>5.25</v>
      </c>
      <c r="E122">
        <v>7</v>
      </c>
      <c r="G122">
        <v>0</v>
      </c>
      <c r="H122" t="s">
        <v>49</v>
      </c>
      <c r="I122">
        <v>0</v>
      </c>
      <c r="J122">
        <v>1.1000000000000001</v>
      </c>
      <c r="K122">
        <v>0.5</v>
      </c>
      <c r="L122">
        <v>0.42875000000000002</v>
      </c>
      <c r="M122">
        <v>0.84</v>
      </c>
      <c r="N122">
        <v>0</v>
      </c>
      <c r="O122">
        <v>0</v>
      </c>
    </row>
    <row r="123" spans="1:15" x14ac:dyDescent="0.45">
      <c r="A123" t="s">
        <v>43</v>
      </c>
      <c r="B123">
        <v>17</v>
      </c>
      <c r="C123" t="s">
        <v>49</v>
      </c>
      <c r="D123">
        <v>5.25</v>
      </c>
      <c r="E123">
        <v>7</v>
      </c>
      <c r="G123">
        <v>0</v>
      </c>
      <c r="H123" t="s">
        <v>49</v>
      </c>
      <c r="I123">
        <v>0</v>
      </c>
      <c r="J123">
        <v>1.1000000000000001</v>
      </c>
      <c r="K123">
        <v>0.5</v>
      </c>
      <c r="L123">
        <v>0.42875000000000002</v>
      </c>
      <c r="M123">
        <v>0.84</v>
      </c>
      <c r="N123">
        <v>0</v>
      </c>
      <c r="O123">
        <v>0</v>
      </c>
    </row>
    <row r="124" spans="1:15" x14ac:dyDescent="0.45">
      <c r="A124" t="s">
        <v>43</v>
      </c>
      <c r="B124">
        <v>18</v>
      </c>
      <c r="C124" t="s">
        <v>67</v>
      </c>
      <c r="D124">
        <v>1.5</v>
      </c>
      <c r="E124">
        <v>2</v>
      </c>
      <c r="F124" t="s">
        <v>99</v>
      </c>
      <c r="G124">
        <v>1.4853125</v>
      </c>
      <c r="H124" t="s">
        <v>67</v>
      </c>
      <c r="I124">
        <v>3.670041139240507</v>
      </c>
      <c r="J124">
        <v>1.1000000000000001</v>
      </c>
      <c r="K124">
        <v>0.5</v>
      </c>
      <c r="L124">
        <v>0.42875000000000002</v>
      </c>
      <c r="M124">
        <v>0.24</v>
      </c>
      <c r="N124">
        <v>0</v>
      </c>
      <c r="O124">
        <v>0</v>
      </c>
    </row>
    <row r="125" spans="1:15" x14ac:dyDescent="0.45">
      <c r="A125" t="s">
        <v>43</v>
      </c>
      <c r="B125">
        <v>19</v>
      </c>
      <c r="C125" t="s">
        <v>62</v>
      </c>
      <c r="D125">
        <v>4.5</v>
      </c>
      <c r="E125">
        <v>6</v>
      </c>
      <c r="F125" t="s">
        <v>99</v>
      </c>
      <c r="G125">
        <v>0.67973749999999999</v>
      </c>
      <c r="H125" t="s">
        <v>62</v>
      </c>
      <c r="I125">
        <v>1.6795472151898729</v>
      </c>
      <c r="J125">
        <v>1.1000000000000001</v>
      </c>
      <c r="K125">
        <v>0.5</v>
      </c>
      <c r="L125">
        <v>0.42875000000000002</v>
      </c>
      <c r="M125">
        <v>0.72</v>
      </c>
      <c r="N125">
        <v>0</v>
      </c>
      <c r="O125">
        <v>0</v>
      </c>
    </row>
    <row r="126" spans="1:15" hidden="1" x14ac:dyDescent="0.45">
      <c r="A126" t="s">
        <v>43</v>
      </c>
      <c r="B126">
        <v>20</v>
      </c>
      <c r="C126" t="s">
        <v>34</v>
      </c>
      <c r="D126">
        <v>5.25</v>
      </c>
      <c r="E126">
        <v>7</v>
      </c>
      <c r="G126">
        <v>0</v>
      </c>
      <c r="H126" t="s">
        <v>34</v>
      </c>
      <c r="I126">
        <v>0</v>
      </c>
      <c r="J126">
        <v>0</v>
      </c>
      <c r="K126">
        <v>0.5</v>
      </c>
      <c r="L126">
        <v>0.42875000000000002</v>
      </c>
      <c r="M126">
        <v>0.84</v>
      </c>
      <c r="N126">
        <v>0</v>
      </c>
      <c r="O126">
        <v>0</v>
      </c>
    </row>
    <row r="127" spans="1:15" hidden="1" x14ac:dyDescent="0.45">
      <c r="A127" t="s">
        <v>43</v>
      </c>
      <c r="B127">
        <v>21</v>
      </c>
      <c r="C127" t="s">
        <v>34</v>
      </c>
      <c r="D127">
        <v>5.25</v>
      </c>
      <c r="E127">
        <v>7</v>
      </c>
      <c r="G127">
        <v>0</v>
      </c>
      <c r="H127" t="s">
        <v>34</v>
      </c>
      <c r="I127">
        <v>0</v>
      </c>
      <c r="J127">
        <v>0</v>
      </c>
      <c r="K127">
        <v>0.5</v>
      </c>
      <c r="L127">
        <v>0.42875000000000002</v>
      </c>
      <c r="M127">
        <v>0.84</v>
      </c>
      <c r="N127">
        <v>0</v>
      </c>
      <c r="O127">
        <v>0</v>
      </c>
    </row>
    <row r="128" spans="1:15" hidden="1" x14ac:dyDescent="0.45">
      <c r="A128" t="s">
        <v>43</v>
      </c>
      <c r="B128">
        <v>22</v>
      </c>
      <c r="C128" t="s">
        <v>34</v>
      </c>
      <c r="D128">
        <v>5.25</v>
      </c>
      <c r="E128">
        <v>7</v>
      </c>
      <c r="G128">
        <v>0</v>
      </c>
      <c r="H128" t="s">
        <v>34</v>
      </c>
      <c r="I128">
        <v>0</v>
      </c>
      <c r="J128">
        <v>0</v>
      </c>
      <c r="K128">
        <v>0.5</v>
      </c>
      <c r="L128">
        <v>0.42875000000000002</v>
      </c>
      <c r="M128">
        <v>0.84</v>
      </c>
      <c r="N128">
        <v>0</v>
      </c>
      <c r="O128">
        <v>0</v>
      </c>
    </row>
    <row r="129" spans="1:15" hidden="1" x14ac:dyDescent="0.45">
      <c r="A129" t="s">
        <v>43</v>
      </c>
      <c r="B129">
        <v>23</v>
      </c>
      <c r="C129" t="s">
        <v>34</v>
      </c>
      <c r="D129">
        <v>5.25</v>
      </c>
      <c r="E129">
        <v>7</v>
      </c>
      <c r="G129">
        <v>0</v>
      </c>
      <c r="H129" t="s">
        <v>34</v>
      </c>
      <c r="I129">
        <v>0</v>
      </c>
      <c r="J129">
        <v>0</v>
      </c>
      <c r="K129">
        <v>0.5</v>
      </c>
      <c r="L129">
        <v>0.42875000000000002</v>
      </c>
      <c r="M129">
        <v>0.84</v>
      </c>
      <c r="N129">
        <v>0</v>
      </c>
      <c r="O129">
        <v>0</v>
      </c>
    </row>
    <row r="130" spans="1:15" hidden="1" x14ac:dyDescent="0.45">
      <c r="A130" t="s">
        <v>43</v>
      </c>
      <c r="B130">
        <v>24</v>
      </c>
      <c r="C130" t="s">
        <v>34</v>
      </c>
      <c r="D130">
        <v>5.25</v>
      </c>
      <c r="E130">
        <v>7</v>
      </c>
      <c r="G130">
        <v>0</v>
      </c>
      <c r="H130" t="s">
        <v>34</v>
      </c>
      <c r="I130">
        <v>0</v>
      </c>
      <c r="J130">
        <v>0</v>
      </c>
      <c r="K130">
        <v>0.5</v>
      </c>
      <c r="L130">
        <v>0.42875000000000002</v>
      </c>
      <c r="M130">
        <v>0.84</v>
      </c>
      <c r="N130">
        <v>0</v>
      </c>
      <c r="O130">
        <v>0</v>
      </c>
    </row>
  </sheetData>
  <autoFilter ref="A1:P130" xr:uid="{00000000-0001-0000-0300-000000000000}">
    <filterColumn colId="7">
      <filters>
        <filter val="Antofagasta"/>
        <filter val="Arica"/>
        <filter val="Caldera"/>
        <filter val="Concepción"/>
        <filter val="Coquimbo"/>
        <filter val="Coronel"/>
        <filter val="Iquique"/>
        <filter val="Lautaro"/>
        <filter val="Linares"/>
        <filter val="Los Ángeles"/>
        <filter val="Mejillones"/>
        <filter val="Osorno"/>
        <filter val="Ovalle"/>
        <filter val="Puerto Montt"/>
        <filter val="Puerto Natales"/>
        <filter val="Punta Arenas"/>
        <filter val="San Antonio"/>
        <filter val="San Fernando"/>
        <filter val="San Vicente"/>
        <filter val="Talca"/>
        <filter val="Valdivia"/>
        <filter val="Valparaiso"/>
      </filters>
    </filterColumn>
  </autoFilter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7E2FB-7139-4316-8801-552C1E4D2875}">
  <dimension ref="A1:E130"/>
  <sheetViews>
    <sheetView topLeftCell="F4" zoomScale="130" zoomScaleNormal="130" workbookViewId="0">
      <selection activeCell="M29" sqref="M29"/>
    </sheetView>
  </sheetViews>
  <sheetFormatPr baseColWidth="10" defaultRowHeight="14.25" x14ac:dyDescent="0.45"/>
  <cols>
    <col min="5" max="5" width="18.86328125" bestFit="1" customWidth="1"/>
  </cols>
  <sheetData>
    <row r="1" spans="1:5" x14ac:dyDescent="0.45">
      <c r="A1" t="s">
        <v>117</v>
      </c>
      <c r="B1" t="s">
        <v>118</v>
      </c>
      <c r="C1" t="s">
        <v>119</v>
      </c>
      <c r="D1" t="s">
        <v>120</v>
      </c>
      <c r="E1" t="s">
        <v>121</v>
      </c>
    </row>
    <row r="2" spans="1:5" x14ac:dyDescent="0.45">
      <c r="A2" t="str">
        <f>Plan_Diario!A2</f>
        <v>Efrain</v>
      </c>
      <c r="B2" t="str">
        <f>Plan_Diario!C2</f>
        <v>Punta Arenas</v>
      </c>
      <c r="C2">
        <f>Plan_Diario!B2</f>
        <v>1</v>
      </c>
      <c r="D2">
        <f>COUNTIFS(
Plan_Diario!$A:$A, A2,
Plan_Diario!$C:$C, B2,
Plan_Diario!$B:$B, "&gt;="&amp;C2
)</f>
        <v>5</v>
      </c>
      <c r="E2" t="str">
        <f xml:space="preserve"> B2 &amp; " (" &amp; D2 &amp; " GPS)"</f>
        <v>Punta Arenas (5 GPS)</v>
      </c>
    </row>
    <row r="3" spans="1:5" x14ac:dyDescent="0.45">
      <c r="A3" t="str">
        <f>Plan_Diario!A3</f>
        <v>Efrain</v>
      </c>
      <c r="B3" t="str">
        <f>Plan_Diario!C3</f>
        <v>Punta Arenas</v>
      </c>
      <c r="C3">
        <f>Plan_Diario!B3</f>
        <v>2</v>
      </c>
      <c r="D3">
        <f>COUNTIFS(
Plan_Diario!$A:$A, A3,
Plan_Diario!$C:$C, B3,
Plan_Diario!$B:$B, "&gt;="&amp;C3
)</f>
        <v>4</v>
      </c>
      <c r="E3" t="str">
        <f t="shared" ref="E3:E66" si="0" xml:space="preserve"> B3 &amp; " (" &amp; D3 &amp; " GPS)"</f>
        <v>Punta Arenas (4 GPS)</v>
      </c>
    </row>
    <row r="4" spans="1:5" x14ac:dyDescent="0.45">
      <c r="A4" t="str">
        <f>Plan_Diario!A4</f>
        <v>Efrain</v>
      </c>
      <c r="B4" t="str">
        <f>Plan_Diario!C4</f>
        <v>Punta Arenas</v>
      </c>
      <c r="C4">
        <f>Plan_Diario!B4</f>
        <v>3</v>
      </c>
      <c r="D4">
        <f>COUNTIFS(
Plan_Diario!$A:$A, A4,
Plan_Diario!$C:$C, B4,
Plan_Diario!$B:$B, "&gt;="&amp;C4
)</f>
        <v>3</v>
      </c>
      <c r="E4" t="str">
        <f t="shared" si="0"/>
        <v>Punta Arenas (3 GPS)</v>
      </c>
    </row>
    <row r="5" spans="1:5" x14ac:dyDescent="0.45">
      <c r="A5" t="str">
        <f>Plan_Diario!A5</f>
        <v>Efrain</v>
      </c>
      <c r="B5" t="str">
        <f>Plan_Diario!C5</f>
        <v>Punta Arenas</v>
      </c>
      <c r="C5">
        <f>Plan_Diario!B5</f>
        <v>4</v>
      </c>
      <c r="D5">
        <f>COUNTIFS(
Plan_Diario!$A:$A, A5,
Plan_Diario!$C:$C, B5,
Plan_Diario!$B:$B, "&gt;="&amp;C5
)</f>
        <v>2</v>
      </c>
      <c r="E5" t="str">
        <f t="shared" si="0"/>
        <v>Punta Arenas (2 GPS)</v>
      </c>
    </row>
    <row r="6" spans="1:5" x14ac:dyDescent="0.45">
      <c r="A6" t="str">
        <f>Plan_Diario!A6</f>
        <v>Efrain</v>
      </c>
      <c r="B6" t="str">
        <f>Plan_Diario!C6</f>
        <v>Punta Arenas</v>
      </c>
      <c r="C6">
        <f>Plan_Diario!B6</f>
        <v>5</v>
      </c>
      <c r="D6">
        <f>COUNTIFS(
Plan_Diario!$A:$A, A6,
Plan_Diario!$C:$C, B6,
Plan_Diario!$B:$B, "&gt;="&amp;C6
)</f>
        <v>1</v>
      </c>
      <c r="E6" t="str">
        <f t="shared" si="0"/>
        <v>Punta Arenas (1 GPS)</v>
      </c>
    </row>
    <row r="7" spans="1:5" x14ac:dyDescent="0.45">
      <c r="A7" t="str">
        <f>Plan_Diario!A7</f>
        <v>Efrain</v>
      </c>
      <c r="B7" t="str">
        <f>Plan_Diario!C7</f>
        <v>Puerto Natales</v>
      </c>
      <c r="C7">
        <f>Plan_Diario!B7</f>
        <v>6</v>
      </c>
      <c r="D7">
        <f>COUNTIFS(
Plan_Diario!$A:$A, A7,
Plan_Diario!$C:$C, B7,
Plan_Diario!$B:$B, "&gt;="&amp;C7
)</f>
        <v>1</v>
      </c>
      <c r="E7" t="str">
        <f t="shared" si="0"/>
        <v>Puerto Natales (1 GPS)</v>
      </c>
    </row>
    <row r="8" spans="1:5" x14ac:dyDescent="0.45">
      <c r="A8" t="str">
        <f>Plan_Diario!A8</f>
        <v>Efrain</v>
      </c>
      <c r="B8" t="str">
        <f>Plan_Diario!C8</f>
        <v>Santiago</v>
      </c>
      <c r="C8">
        <f>Plan_Diario!B8</f>
        <v>7</v>
      </c>
      <c r="D8">
        <f>COUNTIFS(
Plan_Diario!$A:$A, A8,
Plan_Diario!$C:$C, B8,
Plan_Diario!$B:$B, "&gt;="&amp;C8
)</f>
        <v>8</v>
      </c>
      <c r="E8" t="str">
        <f t="shared" si="0"/>
        <v>Santiago (8 GPS)</v>
      </c>
    </row>
    <row r="9" spans="1:5" x14ac:dyDescent="0.45">
      <c r="A9" t="str">
        <f>Plan_Diario!A9</f>
        <v>Efrain</v>
      </c>
      <c r="B9" t="str">
        <f>Plan_Diario!C9</f>
        <v>Santiago</v>
      </c>
      <c r="C9">
        <f>Plan_Diario!B9</f>
        <v>8</v>
      </c>
      <c r="D9">
        <f>COUNTIFS(
Plan_Diario!$A:$A, A9,
Plan_Diario!$C:$C, B9,
Plan_Diario!$B:$B, "&gt;="&amp;C9
)</f>
        <v>7</v>
      </c>
      <c r="E9" t="str">
        <f t="shared" si="0"/>
        <v>Santiago (7 GPS)</v>
      </c>
    </row>
    <row r="10" spans="1:5" x14ac:dyDescent="0.45">
      <c r="A10" t="str">
        <f>Plan_Diario!A10</f>
        <v>Efrain</v>
      </c>
      <c r="B10" t="str">
        <f>Plan_Diario!C10</f>
        <v>Santiago</v>
      </c>
      <c r="C10">
        <f>Plan_Diario!B10</f>
        <v>9</v>
      </c>
      <c r="D10">
        <f>COUNTIFS(
Plan_Diario!$A:$A, A10,
Plan_Diario!$C:$C, B10,
Plan_Diario!$B:$B, "&gt;="&amp;C10
)</f>
        <v>6</v>
      </c>
      <c r="E10" t="str">
        <f t="shared" si="0"/>
        <v>Santiago (6 GPS)</v>
      </c>
    </row>
    <row r="11" spans="1:5" x14ac:dyDescent="0.45">
      <c r="A11" t="str">
        <f>Plan_Diario!A11</f>
        <v>Efrain</v>
      </c>
      <c r="B11" t="str">
        <f>Plan_Diario!C11</f>
        <v>Santiago</v>
      </c>
      <c r="C11">
        <f>Plan_Diario!B11</f>
        <v>10</v>
      </c>
      <c r="D11">
        <f>COUNTIFS(
Plan_Diario!$A:$A, A11,
Plan_Diario!$C:$C, B11,
Plan_Diario!$B:$B, "&gt;="&amp;C11
)</f>
        <v>5</v>
      </c>
      <c r="E11" t="str">
        <f t="shared" si="0"/>
        <v>Santiago (5 GPS)</v>
      </c>
    </row>
    <row r="12" spans="1:5" x14ac:dyDescent="0.45">
      <c r="A12" t="str">
        <f>Plan_Diario!A12</f>
        <v>Efrain</v>
      </c>
      <c r="B12" t="str">
        <f>Plan_Diario!C12</f>
        <v>Santiago</v>
      </c>
      <c r="C12">
        <f>Plan_Diario!B12</f>
        <v>11</v>
      </c>
      <c r="D12">
        <f>COUNTIFS(
Plan_Diario!$A:$A, A12,
Plan_Diario!$C:$C, B12,
Plan_Diario!$B:$B, "&gt;="&amp;C12
)</f>
        <v>4</v>
      </c>
      <c r="E12" t="str">
        <f t="shared" si="0"/>
        <v>Santiago (4 GPS)</v>
      </c>
    </row>
    <row r="13" spans="1:5" x14ac:dyDescent="0.45">
      <c r="A13" t="str">
        <f>Plan_Diario!A13</f>
        <v>Efrain</v>
      </c>
      <c r="B13" t="str">
        <f>Plan_Diario!C13</f>
        <v>Santiago</v>
      </c>
      <c r="C13">
        <f>Plan_Diario!B13</f>
        <v>12</v>
      </c>
      <c r="D13">
        <f>COUNTIFS(
Plan_Diario!$A:$A, A13,
Plan_Diario!$C:$C, B13,
Plan_Diario!$B:$B, "&gt;="&amp;C13
)</f>
        <v>3</v>
      </c>
      <c r="E13" t="str">
        <f t="shared" si="0"/>
        <v>Santiago (3 GPS)</v>
      </c>
    </row>
    <row r="14" spans="1:5" x14ac:dyDescent="0.45">
      <c r="A14" t="str">
        <f>Plan_Diario!A14</f>
        <v>Efrain</v>
      </c>
      <c r="B14" t="str">
        <f>Plan_Diario!C14</f>
        <v>Santiago</v>
      </c>
      <c r="C14">
        <f>Plan_Diario!B14</f>
        <v>13</v>
      </c>
      <c r="D14">
        <f>COUNTIFS(
Plan_Diario!$A:$A, A14,
Plan_Diario!$C:$C, B14,
Plan_Diario!$B:$B, "&gt;="&amp;C14
)</f>
        <v>2</v>
      </c>
      <c r="E14" t="str">
        <f t="shared" si="0"/>
        <v>Santiago (2 GPS)</v>
      </c>
    </row>
    <row r="15" spans="1:5" x14ac:dyDescent="0.45">
      <c r="A15" t="str">
        <f>Plan_Diario!A15</f>
        <v>Efrain</v>
      </c>
      <c r="B15" t="str">
        <f>Plan_Diario!C15</f>
        <v>Santiago</v>
      </c>
      <c r="C15">
        <f>Plan_Diario!B15</f>
        <v>14</v>
      </c>
      <c r="D15">
        <f>COUNTIFS(
Plan_Diario!$A:$A, A15,
Plan_Diario!$C:$C, B15,
Plan_Diario!$B:$B, "&gt;="&amp;C15
)</f>
        <v>1</v>
      </c>
      <c r="E15" t="str">
        <f t="shared" si="0"/>
        <v>Santiago (1 GPS)</v>
      </c>
    </row>
    <row r="16" spans="1:5" x14ac:dyDescent="0.45">
      <c r="A16" t="str">
        <f>Plan_Diario!A16</f>
        <v>Fabian D.</v>
      </c>
      <c r="B16" t="str">
        <f>Plan_Diario!C16</f>
        <v>Arica</v>
      </c>
      <c r="C16">
        <f>Plan_Diario!B16</f>
        <v>1</v>
      </c>
      <c r="D16">
        <f>COUNTIFS(
Plan_Diario!$A:$A, A16,
Plan_Diario!$C:$C, B16,
Plan_Diario!$B:$B, "&gt;="&amp;C16
)</f>
        <v>2</v>
      </c>
      <c r="E16" t="str">
        <f t="shared" si="0"/>
        <v>Arica (2 GPS)</v>
      </c>
    </row>
    <row r="17" spans="1:5" x14ac:dyDescent="0.45">
      <c r="A17" t="str">
        <f>Plan_Diario!A17</f>
        <v>Fabian D.</v>
      </c>
      <c r="B17" t="str">
        <f>Plan_Diario!C17</f>
        <v>Arica</v>
      </c>
      <c r="C17">
        <f>Plan_Diario!B17</f>
        <v>2</v>
      </c>
      <c r="D17">
        <f>COUNTIFS(
Plan_Diario!$A:$A, A17,
Plan_Diario!$C:$C, B17,
Plan_Diario!$B:$B, "&gt;="&amp;C17
)</f>
        <v>1</v>
      </c>
      <c r="E17" t="str">
        <f t="shared" si="0"/>
        <v>Arica (1 GPS)</v>
      </c>
    </row>
    <row r="18" spans="1:5" x14ac:dyDescent="0.45">
      <c r="A18" t="str">
        <f>Plan_Diario!A18</f>
        <v>Fabian D.</v>
      </c>
      <c r="B18" t="str">
        <f>Plan_Diario!C18</f>
        <v>Iquique</v>
      </c>
      <c r="C18">
        <f>Plan_Diario!B18</f>
        <v>3</v>
      </c>
      <c r="D18">
        <f>COUNTIFS(
Plan_Diario!$A:$A, A18,
Plan_Diario!$C:$C, B18,
Plan_Diario!$B:$B, "&gt;="&amp;C18
)</f>
        <v>10</v>
      </c>
      <c r="E18" t="str">
        <f t="shared" si="0"/>
        <v>Iquique (10 GPS)</v>
      </c>
    </row>
    <row r="19" spans="1:5" x14ac:dyDescent="0.45">
      <c r="A19" t="str">
        <f>Plan_Diario!A19</f>
        <v>Fabian D.</v>
      </c>
      <c r="B19" t="str">
        <f>Plan_Diario!C19</f>
        <v>Iquique</v>
      </c>
      <c r="C19">
        <f>Plan_Diario!B19</f>
        <v>4</v>
      </c>
      <c r="D19">
        <f>COUNTIFS(
Plan_Diario!$A:$A, A19,
Plan_Diario!$C:$C, B19,
Plan_Diario!$B:$B, "&gt;="&amp;C19
)</f>
        <v>9</v>
      </c>
      <c r="E19" t="str">
        <f t="shared" si="0"/>
        <v>Iquique (9 GPS)</v>
      </c>
    </row>
    <row r="20" spans="1:5" x14ac:dyDescent="0.45">
      <c r="A20" t="str">
        <f>Plan_Diario!A20</f>
        <v>Fabian D.</v>
      </c>
      <c r="B20" t="str">
        <f>Plan_Diario!C20</f>
        <v>Iquique</v>
      </c>
      <c r="C20">
        <f>Plan_Diario!B20</f>
        <v>5</v>
      </c>
      <c r="D20">
        <f>COUNTIFS(
Plan_Diario!$A:$A, A20,
Plan_Diario!$C:$C, B20,
Plan_Diario!$B:$B, "&gt;="&amp;C20
)</f>
        <v>8</v>
      </c>
      <c r="E20" t="str">
        <f t="shared" si="0"/>
        <v>Iquique (8 GPS)</v>
      </c>
    </row>
    <row r="21" spans="1:5" x14ac:dyDescent="0.45">
      <c r="A21" t="str">
        <f>Plan_Diario!A21</f>
        <v>Fabian D.</v>
      </c>
      <c r="B21" t="str">
        <f>Plan_Diario!C21</f>
        <v>Iquique</v>
      </c>
      <c r="C21">
        <f>Plan_Diario!B21</f>
        <v>6</v>
      </c>
      <c r="D21">
        <f>COUNTIFS(
Plan_Diario!$A:$A, A21,
Plan_Diario!$C:$C, B21,
Plan_Diario!$B:$B, "&gt;="&amp;C21
)</f>
        <v>7</v>
      </c>
      <c r="E21" t="str">
        <f t="shared" si="0"/>
        <v>Iquique (7 GPS)</v>
      </c>
    </row>
    <row r="22" spans="1:5" x14ac:dyDescent="0.45">
      <c r="A22" t="str">
        <f>Plan_Diario!A22</f>
        <v>Fabian D.</v>
      </c>
      <c r="B22" t="str">
        <f>Plan_Diario!C22</f>
        <v>Iquique</v>
      </c>
      <c r="C22">
        <f>Plan_Diario!B22</f>
        <v>7</v>
      </c>
      <c r="D22">
        <f>COUNTIFS(
Plan_Diario!$A:$A, A22,
Plan_Diario!$C:$C, B22,
Plan_Diario!$B:$B, "&gt;="&amp;C22
)</f>
        <v>6</v>
      </c>
      <c r="E22" t="str">
        <f t="shared" si="0"/>
        <v>Iquique (6 GPS)</v>
      </c>
    </row>
    <row r="23" spans="1:5" x14ac:dyDescent="0.45">
      <c r="A23" t="str">
        <f>Plan_Diario!A23</f>
        <v>Fabian D.</v>
      </c>
      <c r="B23" t="str">
        <f>Plan_Diario!C23</f>
        <v>Iquique</v>
      </c>
      <c r="C23">
        <f>Plan_Diario!B23</f>
        <v>8</v>
      </c>
      <c r="D23">
        <f>COUNTIFS(
Plan_Diario!$A:$A, A23,
Plan_Diario!$C:$C, B23,
Plan_Diario!$B:$B, "&gt;="&amp;C23
)</f>
        <v>5</v>
      </c>
      <c r="E23" t="str">
        <f t="shared" si="0"/>
        <v>Iquique (5 GPS)</v>
      </c>
    </row>
    <row r="24" spans="1:5" x14ac:dyDescent="0.45">
      <c r="A24" t="str">
        <f>Plan_Diario!A24</f>
        <v>Fabian D.</v>
      </c>
      <c r="B24" t="str">
        <f>Plan_Diario!C24</f>
        <v>Iquique</v>
      </c>
      <c r="C24">
        <f>Plan_Diario!B24</f>
        <v>9</v>
      </c>
      <c r="D24">
        <f>COUNTIFS(
Plan_Diario!$A:$A, A24,
Plan_Diario!$C:$C, B24,
Plan_Diario!$B:$B, "&gt;="&amp;C24
)</f>
        <v>4</v>
      </c>
      <c r="E24" t="str">
        <f t="shared" si="0"/>
        <v>Iquique (4 GPS)</v>
      </c>
    </row>
    <row r="25" spans="1:5" x14ac:dyDescent="0.45">
      <c r="A25" t="str">
        <f>Plan_Diario!A25</f>
        <v>Fabian D.</v>
      </c>
      <c r="B25" t="str">
        <f>Plan_Diario!C25</f>
        <v>Iquique</v>
      </c>
      <c r="C25">
        <f>Plan_Diario!B25</f>
        <v>10</v>
      </c>
      <c r="D25">
        <f>COUNTIFS(
Plan_Diario!$A:$A, A25,
Plan_Diario!$C:$C, B25,
Plan_Diario!$B:$B, "&gt;="&amp;C25
)</f>
        <v>3</v>
      </c>
      <c r="E25" t="str">
        <f t="shared" si="0"/>
        <v>Iquique (3 GPS)</v>
      </c>
    </row>
    <row r="26" spans="1:5" x14ac:dyDescent="0.45">
      <c r="A26" t="str">
        <f>Plan_Diario!A26</f>
        <v>Fabian D.</v>
      </c>
      <c r="B26" t="str">
        <f>Plan_Diario!C26</f>
        <v>Iquique</v>
      </c>
      <c r="C26">
        <f>Plan_Diario!B26</f>
        <v>11</v>
      </c>
      <c r="D26">
        <f>COUNTIFS(
Plan_Diario!$A:$A, A26,
Plan_Diario!$C:$C, B26,
Plan_Diario!$B:$B, "&gt;="&amp;C26
)</f>
        <v>2</v>
      </c>
      <c r="E26" t="str">
        <f t="shared" si="0"/>
        <v>Iquique (2 GPS)</v>
      </c>
    </row>
    <row r="27" spans="1:5" x14ac:dyDescent="0.45">
      <c r="A27" t="str">
        <f>Plan_Diario!A27</f>
        <v>Fabian D.</v>
      </c>
      <c r="B27" t="str">
        <f>Plan_Diario!C27</f>
        <v>Iquique</v>
      </c>
      <c r="C27">
        <f>Plan_Diario!B27</f>
        <v>12</v>
      </c>
      <c r="D27">
        <f>COUNTIFS(
Plan_Diario!$A:$A, A27,
Plan_Diario!$C:$C, B27,
Plan_Diario!$B:$B, "&gt;="&amp;C27
)</f>
        <v>1</v>
      </c>
      <c r="E27" t="str">
        <f t="shared" si="0"/>
        <v>Iquique (1 GPS)</v>
      </c>
    </row>
    <row r="28" spans="1:5" x14ac:dyDescent="0.45">
      <c r="A28" t="str">
        <f>Plan_Diario!A28</f>
        <v>Fabian D.</v>
      </c>
      <c r="B28" t="str">
        <f>Plan_Diario!C28</f>
        <v>Santiago</v>
      </c>
      <c r="C28">
        <f>Plan_Diario!B28</f>
        <v>13</v>
      </c>
      <c r="D28">
        <f>COUNTIFS(
Plan_Diario!$A:$A, A28,
Plan_Diario!$C:$C, B28,
Plan_Diario!$B:$B, "&gt;="&amp;C28
)</f>
        <v>12</v>
      </c>
      <c r="E28" t="str">
        <f t="shared" si="0"/>
        <v>Santiago (12 GPS)</v>
      </c>
    </row>
    <row r="29" spans="1:5" x14ac:dyDescent="0.45">
      <c r="A29" t="str">
        <f>Plan_Diario!A29</f>
        <v>Fabian D.</v>
      </c>
      <c r="B29" t="str">
        <f>Plan_Diario!C29</f>
        <v>Santiago</v>
      </c>
      <c r="C29">
        <f>Plan_Diario!B29</f>
        <v>14</v>
      </c>
      <c r="D29">
        <f>COUNTIFS(
Plan_Diario!$A:$A, A29,
Plan_Diario!$C:$C, B29,
Plan_Diario!$B:$B, "&gt;="&amp;C29
)</f>
        <v>11</v>
      </c>
      <c r="E29" t="str">
        <f t="shared" si="0"/>
        <v>Santiago (11 GPS)</v>
      </c>
    </row>
    <row r="30" spans="1:5" x14ac:dyDescent="0.45">
      <c r="A30" t="str">
        <f>Plan_Diario!A30</f>
        <v>Fabian D.</v>
      </c>
      <c r="B30" t="str">
        <f>Plan_Diario!C30</f>
        <v>Santiago</v>
      </c>
      <c r="C30">
        <f>Plan_Diario!B30</f>
        <v>15</v>
      </c>
      <c r="D30">
        <f>COUNTIFS(
Plan_Diario!$A:$A, A30,
Plan_Diario!$C:$C, B30,
Plan_Diario!$B:$B, "&gt;="&amp;C30
)</f>
        <v>10</v>
      </c>
      <c r="E30" t="str">
        <f t="shared" si="0"/>
        <v>Santiago (10 GPS)</v>
      </c>
    </row>
    <row r="31" spans="1:5" x14ac:dyDescent="0.45">
      <c r="A31" t="str">
        <f>Plan_Diario!A31</f>
        <v>Fabian D.</v>
      </c>
      <c r="B31" t="str">
        <f>Plan_Diario!C31</f>
        <v>Santiago</v>
      </c>
      <c r="C31">
        <f>Plan_Diario!B31</f>
        <v>16</v>
      </c>
      <c r="D31">
        <f>COUNTIFS(
Plan_Diario!$A:$A, A31,
Plan_Diario!$C:$C, B31,
Plan_Diario!$B:$B, "&gt;="&amp;C31
)</f>
        <v>9</v>
      </c>
      <c r="E31" t="str">
        <f t="shared" si="0"/>
        <v>Santiago (9 GPS)</v>
      </c>
    </row>
    <row r="32" spans="1:5" x14ac:dyDescent="0.45">
      <c r="A32" t="str">
        <f>Plan_Diario!A32</f>
        <v>Fabian D.</v>
      </c>
      <c r="B32" t="str">
        <f>Plan_Diario!C32</f>
        <v>Santiago</v>
      </c>
      <c r="C32">
        <f>Plan_Diario!B32</f>
        <v>17</v>
      </c>
      <c r="D32">
        <f>COUNTIFS(
Plan_Diario!$A:$A, A32,
Plan_Diario!$C:$C, B32,
Plan_Diario!$B:$B, "&gt;="&amp;C32
)</f>
        <v>8</v>
      </c>
      <c r="E32" t="str">
        <f t="shared" si="0"/>
        <v>Santiago (8 GPS)</v>
      </c>
    </row>
    <row r="33" spans="1:5" x14ac:dyDescent="0.45">
      <c r="A33" t="str">
        <f>Plan_Diario!A33</f>
        <v>Fabian D.</v>
      </c>
      <c r="B33" t="str">
        <f>Plan_Diario!C33</f>
        <v>Santiago</v>
      </c>
      <c r="C33">
        <f>Plan_Diario!B33</f>
        <v>18</v>
      </c>
      <c r="D33">
        <f>COUNTIFS(
Plan_Diario!$A:$A, A33,
Plan_Diario!$C:$C, B33,
Plan_Diario!$B:$B, "&gt;="&amp;C33
)</f>
        <v>7</v>
      </c>
      <c r="E33" t="str">
        <f t="shared" si="0"/>
        <v>Santiago (7 GPS)</v>
      </c>
    </row>
    <row r="34" spans="1:5" x14ac:dyDescent="0.45">
      <c r="A34" t="str">
        <f>Plan_Diario!A34</f>
        <v>Fabian D.</v>
      </c>
      <c r="B34" t="str">
        <f>Plan_Diario!C34</f>
        <v>Santiago</v>
      </c>
      <c r="C34">
        <f>Plan_Diario!B34</f>
        <v>19</v>
      </c>
      <c r="D34">
        <f>COUNTIFS(
Plan_Diario!$A:$A, A34,
Plan_Diario!$C:$C, B34,
Plan_Diario!$B:$B, "&gt;="&amp;C34
)</f>
        <v>6</v>
      </c>
      <c r="E34" t="str">
        <f t="shared" si="0"/>
        <v>Santiago (6 GPS)</v>
      </c>
    </row>
    <row r="35" spans="1:5" x14ac:dyDescent="0.45">
      <c r="A35" t="str">
        <f>Plan_Diario!A35</f>
        <v>Fabian D.</v>
      </c>
      <c r="B35" t="str">
        <f>Plan_Diario!C35</f>
        <v>Santiago</v>
      </c>
      <c r="C35">
        <f>Plan_Diario!B35</f>
        <v>20</v>
      </c>
      <c r="D35">
        <f>COUNTIFS(
Plan_Diario!$A:$A, A35,
Plan_Diario!$C:$C, B35,
Plan_Diario!$B:$B, "&gt;="&amp;C35
)</f>
        <v>5</v>
      </c>
      <c r="E35" t="str">
        <f t="shared" si="0"/>
        <v>Santiago (5 GPS)</v>
      </c>
    </row>
    <row r="36" spans="1:5" x14ac:dyDescent="0.45">
      <c r="A36" t="str">
        <f>Plan_Diario!A36</f>
        <v>Fabian D.</v>
      </c>
      <c r="B36" t="str">
        <f>Plan_Diario!C36</f>
        <v>Santiago</v>
      </c>
      <c r="C36">
        <f>Plan_Diario!B36</f>
        <v>21</v>
      </c>
      <c r="D36">
        <f>COUNTIFS(
Plan_Diario!$A:$A, A36,
Plan_Diario!$C:$C, B36,
Plan_Diario!$B:$B, "&gt;="&amp;C36
)</f>
        <v>4</v>
      </c>
      <c r="E36" t="str">
        <f t="shared" si="0"/>
        <v>Santiago (4 GPS)</v>
      </c>
    </row>
    <row r="37" spans="1:5" x14ac:dyDescent="0.45">
      <c r="A37" t="str">
        <f>Plan_Diario!A37</f>
        <v>Fabian D.</v>
      </c>
      <c r="B37" t="str">
        <f>Plan_Diario!C37</f>
        <v>Santiago</v>
      </c>
      <c r="C37">
        <f>Plan_Diario!B37</f>
        <v>22</v>
      </c>
      <c r="D37">
        <f>COUNTIFS(
Plan_Diario!$A:$A, A37,
Plan_Diario!$C:$C, B37,
Plan_Diario!$B:$B, "&gt;="&amp;C37
)</f>
        <v>3</v>
      </c>
      <c r="E37" t="str">
        <f t="shared" si="0"/>
        <v>Santiago (3 GPS)</v>
      </c>
    </row>
    <row r="38" spans="1:5" x14ac:dyDescent="0.45">
      <c r="A38" t="str">
        <f>Plan_Diario!A38</f>
        <v>Fabian D.</v>
      </c>
      <c r="B38" t="str">
        <f>Plan_Diario!C38</f>
        <v>Santiago</v>
      </c>
      <c r="C38">
        <f>Plan_Diario!B38</f>
        <v>23</v>
      </c>
      <c r="D38">
        <f>COUNTIFS(
Plan_Diario!$A:$A, A38,
Plan_Diario!$C:$C, B38,
Plan_Diario!$B:$B, "&gt;="&amp;C38
)</f>
        <v>2</v>
      </c>
      <c r="E38" t="str">
        <f t="shared" si="0"/>
        <v>Santiago (2 GPS)</v>
      </c>
    </row>
    <row r="39" spans="1:5" x14ac:dyDescent="0.45">
      <c r="A39" t="str">
        <f>Plan_Diario!A39</f>
        <v>Fabian D.</v>
      </c>
      <c r="B39" t="str">
        <f>Plan_Diario!C39</f>
        <v>Santiago</v>
      </c>
      <c r="C39">
        <f>Plan_Diario!B39</f>
        <v>24</v>
      </c>
      <c r="D39">
        <f>COUNTIFS(
Plan_Diario!$A:$A, A39,
Plan_Diario!$C:$C, B39,
Plan_Diario!$B:$B, "&gt;="&amp;C39
)</f>
        <v>1</v>
      </c>
      <c r="E39" t="str">
        <f t="shared" si="0"/>
        <v>Santiago (1 GPS)</v>
      </c>
    </row>
    <row r="40" spans="1:5" x14ac:dyDescent="0.45">
      <c r="A40" t="str">
        <f>Plan_Diario!A40</f>
        <v>Jimmy</v>
      </c>
      <c r="B40" t="str">
        <f>Plan_Diario!C40</f>
        <v>Concepción</v>
      </c>
      <c r="C40">
        <f>Plan_Diario!B40</f>
        <v>1</v>
      </c>
      <c r="D40">
        <f>COUNTIFS(
Plan_Diario!$A:$A, A40,
Plan_Diario!$C:$C, B40,
Plan_Diario!$B:$B, "&gt;="&amp;C40
)</f>
        <v>2</v>
      </c>
      <c r="E40" t="str">
        <f t="shared" si="0"/>
        <v>Concepción (2 GPS)</v>
      </c>
    </row>
    <row r="41" spans="1:5" x14ac:dyDescent="0.45">
      <c r="A41" t="str">
        <f>Plan_Diario!A41</f>
        <v>Jimmy</v>
      </c>
      <c r="B41" t="str">
        <f>Plan_Diario!C41</f>
        <v>Concepción</v>
      </c>
      <c r="C41">
        <f>Plan_Diario!B41</f>
        <v>2</v>
      </c>
      <c r="D41">
        <f>COUNTIFS(
Plan_Diario!$A:$A, A41,
Plan_Diario!$C:$C, B41,
Plan_Diario!$B:$B, "&gt;="&amp;C41
)</f>
        <v>1</v>
      </c>
      <c r="E41" t="str">
        <f t="shared" si="0"/>
        <v>Concepción (1 GPS)</v>
      </c>
    </row>
    <row r="42" spans="1:5" x14ac:dyDescent="0.45">
      <c r="A42" t="str">
        <f>Plan_Diario!A42</f>
        <v>Jimmy</v>
      </c>
      <c r="B42" t="str">
        <f>Plan_Diario!C42</f>
        <v>Coronel</v>
      </c>
      <c r="C42">
        <f>Plan_Diario!B42</f>
        <v>3</v>
      </c>
      <c r="D42">
        <f>COUNTIFS(
Plan_Diario!$A:$A, A42,
Plan_Diario!$C:$C, B42,
Plan_Diario!$B:$B, "&gt;="&amp;C42
)</f>
        <v>1</v>
      </c>
      <c r="E42" t="str">
        <f t="shared" si="0"/>
        <v>Coronel (1 GPS)</v>
      </c>
    </row>
    <row r="43" spans="1:5" x14ac:dyDescent="0.45">
      <c r="A43" t="str">
        <f>Plan_Diario!A43</f>
        <v>Jimmy</v>
      </c>
      <c r="B43" t="str">
        <f>Plan_Diario!C43</f>
        <v>Los Ángeles</v>
      </c>
      <c r="C43">
        <f>Plan_Diario!B43</f>
        <v>4</v>
      </c>
      <c r="D43">
        <f>COUNTIFS(
Plan_Diario!$A:$A, A43,
Plan_Diario!$C:$C, B43,
Plan_Diario!$B:$B, "&gt;="&amp;C43
)</f>
        <v>1</v>
      </c>
      <c r="E43" t="str">
        <f t="shared" si="0"/>
        <v>Los Ángeles (1 GPS)</v>
      </c>
    </row>
    <row r="44" spans="1:5" x14ac:dyDescent="0.45">
      <c r="A44" t="str">
        <f>Plan_Diario!A44</f>
        <v>Jimmy</v>
      </c>
      <c r="B44" t="str">
        <f>Plan_Diario!C44</f>
        <v>Lautaro</v>
      </c>
      <c r="C44">
        <f>Plan_Diario!B44</f>
        <v>5</v>
      </c>
      <c r="D44">
        <f>COUNTIFS(
Plan_Diario!$A:$A, A44,
Plan_Diario!$C:$C, B44,
Plan_Diario!$B:$B, "&gt;="&amp;C44
)</f>
        <v>5</v>
      </c>
      <c r="E44" t="str">
        <f t="shared" si="0"/>
        <v>Lautaro (5 GPS)</v>
      </c>
    </row>
    <row r="45" spans="1:5" x14ac:dyDescent="0.45">
      <c r="A45" t="str">
        <f>Plan_Diario!A45</f>
        <v>Jimmy</v>
      </c>
      <c r="B45" t="str">
        <f>Plan_Diario!C45</f>
        <v>Lautaro</v>
      </c>
      <c r="C45">
        <f>Plan_Diario!B45</f>
        <v>6</v>
      </c>
      <c r="D45">
        <f>COUNTIFS(
Plan_Diario!$A:$A, A45,
Plan_Diario!$C:$C, B45,
Plan_Diario!$B:$B, "&gt;="&amp;C45
)</f>
        <v>4</v>
      </c>
      <c r="E45" t="str">
        <f t="shared" si="0"/>
        <v>Lautaro (4 GPS)</v>
      </c>
    </row>
    <row r="46" spans="1:5" x14ac:dyDescent="0.45">
      <c r="A46" t="str">
        <f>Plan_Diario!A46</f>
        <v>Jimmy</v>
      </c>
      <c r="B46" t="str">
        <f>Plan_Diario!C46</f>
        <v>Lautaro</v>
      </c>
      <c r="C46">
        <f>Plan_Diario!B46</f>
        <v>7</v>
      </c>
      <c r="D46">
        <f>COUNTIFS(
Plan_Diario!$A:$A, A46,
Plan_Diario!$C:$C, B46,
Plan_Diario!$B:$B, "&gt;="&amp;C46
)</f>
        <v>3</v>
      </c>
      <c r="E46" t="str">
        <f t="shared" si="0"/>
        <v>Lautaro (3 GPS)</v>
      </c>
    </row>
    <row r="47" spans="1:5" x14ac:dyDescent="0.45">
      <c r="A47" t="str">
        <f>Plan_Diario!A47</f>
        <v>Jimmy</v>
      </c>
      <c r="B47" t="str">
        <f>Plan_Diario!C47</f>
        <v>Lautaro</v>
      </c>
      <c r="C47">
        <f>Plan_Diario!B47</f>
        <v>8</v>
      </c>
      <c r="D47">
        <f>COUNTIFS(
Plan_Diario!$A:$A, A47,
Plan_Diario!$C:$C, B47,
Plan_Diario!$B:$B, "&gt;="&amp;C47
)</f>
        <v>2</v>
      </c>
      <c r="E47" t="str">
        <f t="shared" si="0"/>
        <v>Lautaro (2 GPS)</v>
      </c>
    </row>
    <row r="48" spans="1:5" x14ac:dyDescent="0.45">
      <c r="A48" t="str">
        <f>Plan_Diario!A48</f>
        <v>Jimmy</v>
      </c>
      <c r="B48" t="str">
        <f>Plan_Diario!C48</f>
        <v>Lautaro</v>
      </c>
      <c r="C48">
        <f>Plan_Diario!B48</f>
        <v>9</v>
      </c>
      <c r="D48">
        <f>COUNTIFS(
Plan_Diario!$A:$A, A48,
Plan_Diario!$C:$C, B48,
Plan_Diario!$B:$B, "&gt;="&amp;C48
)</f>
        <v>1</v>
      </c>
      <c r="E48" t="str">
        <f t="shared" si="0"/>
        <v>Lautaro (1 GPS)</v>
      </c>
    </row>
    <row r="49" spans="1:5" x14ac:dyDescent="0.45">
      <c r="A49" t="str">
        <f>Plan_Diario!A49</f>
        <v>Jimmy</v>
      </c>
      <c r="B49" t="str">
        <f>Plan_Diario!C49</f>
        <v>Valdivia</v>
      </c>
      <c r="C49">
        <f>Plan_Diario!B49</f>
        <v>10</v>
      </c>
      <c r="D49">
        <f>COUNTIFS(
Plan_Diario!$A:$A, A49,
Plan_Diario!$C:$C, B49,
Plan_Diario!$B:$B, "&gt;="&amp;C49
)</f>
        <v>1</v>
      </c>
      <c r="E49" t="str">
        <f t="shared" si="0"/>
        <v>Valdivia (1 GPS)</v>
      </c>
    </row>
    <row r="50" spans="1:5" x14ac:dyDescent="0.45">
      <c r="A50" t="str">
        <f>Plan_Diario!A50</f>
        <v>Jimmy</v>
      </c>
      <c r="B50" t="str">
        <f>Plan_Diario!C50</f>
        <v>Osorno</v>
      </c>
      <c r="C50">
        <f>Plan_Diario!B50</f>
        <v>11</v>
      </c>
      <c r="D50">
        <f>COUNTIFS(
Plan_Diario!$A:$A, A50,
Plan_Diario!$C:$C, B50,
Plan_Diario!$B:$B, "&gt;="&amp;C50
)</f>
        <v>1</v>
      </c>
      <c r="E50" t="str">
        <f t="shared" si="0"/>
        <v>Osorno (1 GPS)</v>
      </c>
    </row>
    <row r="51" spans="1:5" x14ac:dyDescent="0.45">
      <c r="A51" t="str">
        <f>Plan_Diario!A51</f>
        <v>Jimmy</v>
      </c>
      <c r="B51" t="str">
        <f>Plan_Diario!C51</f>
        <v>Puerto Montt</v>
      </c>
      <c r="C51">
        <f>Plan_Diario!B51</f>
        <v>12</v>
      </c>
      <c r="D51">
        <f>COUNTIFS(
Plan_Diario!$A:$A, A51,
Plan_Diario!$C:$C, B51,
Plan_Diario!$B:$B, "&gt;="&amp;C51
)</f>
        <v>9</v>
      </c>
      <c r="E51" t="str">
        <f t="shared" si="0"/>
        <v>Puerto Montt (9 GPS)</v>
      </c>
    </row>
    <row r="52" spans="1:5" x14ac:dyDescent="0.45">
      <c r="A52" t="str">
        <f>Plan_Diario!A52</f>
        <v>Jimmy</v>
      </c>
      <c r="B52" t="str">
        <f>Plan_Diario!C52</f>
        <v>Puerto Montt</v>
      </c>
      <c r="C52">
        <f>Plan_Diario!B52</f>
        <v>13</v>
      </c>
      <c r="D52">
        <f>COUNTIFS(
Plan_Diario!$A:$A, A52,
Plan_Diario!$C:$C, B52,
Plan_Diario!$B:$B, "&gt;="&amp;C52
)</f>
        <v>8</v>
      </c>
      <c r="E52" t="str">
        <f t="shared" si="0"/>
        <v>Puerto Montt (8 GPS)</v>
      </c>
    </row>
    <row r="53" spans="1:5" x14ac:dyDescent="0.45">
      <c r="A53" t="str">
        <f>Plan_Diario!A53</f>
        <v>Jimmy</v>
      </c>
      <c r="B53" t="str">
        <f>Plan_Diario!C53</f>
        <v>Puerto Montt</v>
      </c>
      <c r="C53">
        <f>Plan_Diario!B53</f>
        <v>14</v>
      </c>
      <c r="D53">
        <f>COUNTIFS(
Plan_Diario!$A:$A, A53,
Plan_Diario!$C:$C, B53,
Plan_Diario!$B:$B, "&gt;="&amp;C53
)</f>
        <v>7</v>
      </c>
      <c r="E53" t="str">
        <f t="shared" si="0"/>
        <v>Puerto Montt (7 GPS)</v>
      </c>
    </row>
    <row r="54" spans="1:5" x14ac:dyDescent="0.45">
      <c r="A54" t="str">
        <f>Plan_Diario!A54</f>
        <v>Jimmy</v>
      </c>
      <c r="B54" t="str">
        <f>Plan_Diario!C54</f>
        <v>Puerto Montt</v>
      </c>
      <c r="C54">
        <f>Plan_Diario!B54</f>
        <v>15</v>
      </c>
      <c r="D54">
        <f>COUNTIFS(
Plan_Diario!$A:$A, A54,
Plan_Diario!$C:$C, B54,
Plan_Diario!$B:$B, "&gt;="&amp;C54
)</f>
        <v>6</v>
      </c>
      <c r="E54" t="str">
        <f t="shared" si="0"/>
        <v>Puerto Montt (6 GPS)</v>
      </c>
    </row>
    <row r="55" spans="1:5" x14ac:dyDescent="0.45">
      <c r="A55" t="str">
        <f>Plan_Diario!A55</f>
        <v>Jimmy</v>
      </c>
      <c r="B55" t="str">
        <f>Plan_Diario!C55</f>
        <v>Puerto Montt</v>
      </c>
      <c r="C55">
        <f>Plan_Diario!B55</f>
        <v>16</v>
      </c>
      <c r="D55">
        <f>COUNTIFS(
Plan_Diario!$A:$A, A55,
Plan_Diario!$C:$C, B55,
Plan_Diario!$B:$B, "&gt;="&amp;C55
)</f>
        <v>5</v>
      </c>
      <c r="E55" t="str">
        <f t="shared" si="0"/>
        <v>Puerto Montt (5 GPS)</v>
      </c>
    </row>
    <row r="56" spans="1:5" x14ac:dyDescent="0.45">
      <c r="A56" t="str">
        <f>Plan_Diario!A56</f>
        <v>Jimmy</v>
      </c>
      <c r="B56" t="str">
        <f>Plan_Diario!C56</f>
        <v>Puerto Montt</v>
      </c>
      <c r="C56">
        <f>Plan_Diario!B56</f>
        <v>17</v>
      </c>
      <c r="D56">
        <f>COUNTIFS(
Plan_Diario!$A:$A, A56,
Plan_Diario!$C:$C, B56,
Plan_Diario!$B:$B, "&gt;="&amp;C56
)</f>
        <v>4</v>
      </c>
      <c r="E56" t="str">
        <f t="shared" si="0"/>
        <v>Puerto Montt (4 GPS)</v>
      </c>
    </row>
    <row r="57" spans="1:5" x14ac:dyDescent="0.45">
      <c r="A57" t="str">
        <f>Plan_Diario!A57</f>
        <v>Jimmy</v>
      </c>
      <c r="B57" t="str">
        <f>Plan_Diario!C57</f>
        <v>Puerto Montt</v>
      </c>
      <c r="C57">
        <f>Plan_Diario!B57</f>
        <v>18</v>
      </c>
      <c r="D57">
        <f>COUNTIFS(
Plan_Diario!$A:$A, A57,
Plan_Diario!$C:$C, B57,
Plan_Diario!$B:$B, "&gt;="&amp;C57
)</f>
        <v>3</v>
      </c>
      <c r="E57" t="str">
        <f t="shared" si="0"/>
        <v>Puerto Montt (3 GPS)</v>
      </c>
    </row>
    <row r="58" spans="1:5" x14ac:dyDescent="0.45">
      <c r="A58" t="str">
        <f>Plan_Diario!A58</f>
        <v>Jimmy</v>
      </c>
      <c r="B58" t="str">
        <f>Plan_Diario!C58</f>
        <v>Puerto Montt</v>
      </c>
      <c r="C58">
        <f>Plan_Diario!B58</f>
        <v>19</v>
      </c>
      <c r="D58">
        <f>COUNTIFS(
Plan_Diario!$A:$A, A58,
Plan_Diario!$C:$C, B58,
Plan_Diario!$B:$B, "&gt;="&amp;C58
)</f>
        <v>2</v>
      </c>
      <c r="E58" t="str">
        <f t="shared" si="0"/>
        <v>Puerto Montt (2 GPS)</v>
      </c>
    </row>
    <row r="59" spans="1:5" x14ac:dyDescent="0.45">
      <c r="A59" t="str">
        <f>Plan_Diario!A59</f>
        <v>Jimmy</v>
      </c>
      <c r="B59" t="str">
        <f>Plan_Diario!C59</f>
        <v>Puerto Montt</v>
      </c>
      <c r="C59">
        <f>Plan_Diario!B59</f>
        <v>20</v>
      </c>
      <c r="D59">
        <f>COUNTIFS(
Plan_Diario!$A:$A, A59,
Plan_Diario!$C:$C, B59,
Plan_Diario!$B:$B, "&gt;="&amp;C59
)</f>
        <v>1</v>
      </c>
      <c r="E59" t="str">
        <f t="shared" si="0"/>
        <v>Puerto Montt (1 GPS)</v>
      </c>
    </row>
    <row r="60" spans="1:5" x14ac:dyDescent="0.45">
      <c r="A60" t="str">
        <f>Plan_Diario!A60</f>
        <v>Luis</v>
      </c>
      <c r="B60" t="str">
        <f>Plan_Diario!C60</f>
        <v>Valparaiso</v>
      </c>
      <c r="C60">
        <f>Plan_Diario!B60</f>
        <v>1</v>
      </c>
      <c r="D60">
        <f>COUNTIFS(
Plan_Diario!$A:$A, A60,
Plan_Diario!$C:$C, B60,
Plan_Diario!$B:$B, "&gt;="&amp;C60
)</f>
        <v>18</v>
      </c>
      <c r="E60" t="str">
        <f t="shared" si="0"/>
        <v>Valparaiso (18 GPS)</v>
      </c>
    </row>
    <row r="61" spans="1:5" x14ac:dyDescent="0.45">
      <c r="A61" t="str">
        <f>Plan_Diario!A61</f>
        <v>Luis</v>
      </c>
      <c r="B61" t="str">
        <f>Plan_Diario!C61</f>
        <v>Valparaiso</v>
      </c>
      <c r="C61">
        <f>Plan_Diario!B61</f>
        <v>2</v>
      </c>
      <c r="D61">
        <f>COUNTIFS(
Plan_Diario!$A:$A, A61,
Plan_Diario!$C:$C, B61,
Plan_Diario!$B:$B, "&gt;="&amp;C61
)</f>
        <v>17</v>
      </c>
      <c r="E61" t="str">
        <f t="shared" si="0"/>
        <v>Valparaiso (17 GPS)</v>
      </c>
    </row>
    <row r="62" spans="1:5" x14ac:dyDescent="0.45">
      <c r="A62" t="str">
        <f>Plan_Diario!A62</f>
        <v>Luis</v>
      </c>
      <c r="B62" t="str">
        <f>Plan_Diario!C62</f>
        <v>Valparaiso</v>
      </c>
      <c r="C62">
        <f>Plan_Diario!B62</f>
        <v>3</v>
      </c>
      <c r="D62">
        <f>COUNTIFS(
Plan_Diario!$A:$A, A62,
Plan_Diario!$C:$C, B62,
Plan_Diario!$B:$B, "&gt;="&amp;C62
)</f>
        <v>16</v>
      </c>
      <c r="E62" t="str">
        <f t="shared" si="0"/>
        <v>Valparaiso (16 GPS)</v>
      </c>
    </row>
    <row r="63" spans="1:5" x14ac:dyDescent="0.45">
      <c r="A63" t="str">
        <f>Plan_Diario!A63</f>
        <v>Luis</v>
      </c>
      <c r="B63" t="str">
        <f>Plan_Diario!C63</f>
        <v>Valparaiso</v>
      </c>
      <c r="C63">
        <f>Plan_Diario!B63</f>
        <v>4</v>
      </c>
      <c r="D63">
        <f>COUNTIFS(
Plan_Diario!$A:$A, A63,
Plan_Diario!$C:$C, B63,
Plan_Diario!$B:$B, "&gt;="&amp;C63
)</f>
        <v>15</v>
      </c>
      <c r="E63" t="str">
        <f t="shared" si="0"/>
        <v>Valparaiso (15 GPS)</v>
      </c>
    </row>
    <row r="64" spans="1:5" x14ac:dyDescent="0.45">
      <c r="A64" t="str">
        <f>Plan_Diario!A64</f>
        <v>Luis</v>
      </c>
      <c r="B64" t="str">
        <f>Plan_Diario!C64</f>
        <v>Valparaiso</v>
      </c>
      <c r="C64">
        <f>Plan_Diario!B64</f>
        <v>5</v>
      </c>
      <c r="D64">
        <f>COUNTIFS(
Plan_Diario!$A:$A, A64,
Plan_Diario!$C:$C, B64,
Plan_Diario!$B:$B, "&gt;="&amp;C64
)</f>
        <v>14</v>
      </c>
      <c r="E64" t="str">
        <f t="shared" si="0"/>
        <v>Valparaiso (14 GPS)</v>
      </c>
    </row>
    <row r="65" spans="1:5" x14ac:dyDescent="0.45">
      <c r="A65" t="str">
        <f>Plan_Diario!A65</f>
        <v>Luis</v>
      </c>
      <c r="B65" t="str">
        <f>Plan_Diario!C65</f>
        <v>Valparaiso</v>
      </c>
      <c r="C65">
        <f>Plan_Diario!B65</f>
        <v>6</v>
      </c>
      <c r="D65">
        <f>COUNTIFS(
Plan_Diario!$A:$A, A65,
Plan_Diario!$C:$C, B65,
Plan_Diario!$B:$B, "&gt;="&amp;C65
)</f>
        <v>13</v>
      </c>
      <c r="E65" t="str">
        <f t="shared" si="0"/>
        <v>Valparaiso (13 GPS)</v>
      </c>
    </row>
    <row r="66" spans="1:5" x14ac:dyDescent="0.45">
      <c r="A66" t="str">
        <f>Plan_Diario!A66</f>
        <v>Luis</v>
      </c>
      <c r="B66" t="str">
        <f>Plan_Diario!C66</f>
        <v>Valparaiso</v>
      </c>
      <c r="C66">
        <f>Plan_Diario!B66</f>
        <v>7</v>
      </c>
      <c r="D66">
        <f>COUNTIFS(
Plan_Diario!$A:$A, A66,
Plan_Diario!$C:$C, B66,
Plan_Diario!$B:$B, "&gt;="&amp;C66
)</f>
        <v>12</v>
      </c>
      <c r="E66" t="str">
        <f t="shared" si="0"/>
        <v>Valparaiso (12 GPS)</v>
      </c>
    </row>
    <row r="67" spans="1:5" x14ac:dyDescent="0.45">
      <c r="A67" t="str">
        <f>Plan_Diario!A67</f>
        <v>Luis</v>
      </c>
      <c r="B67" t="str">
        <f>Plan_Diario!C67</f>
        <v>Valparaiso</v>
      </c>
      <c r="C67">
        <f>Plan_Diario!B67</f>
        <v>8</v>
      </c>
      <c r="D67">
        <f>COUNTIFS(
Plan_Diario!$A:$A, A67,
Plan_Diario!$C:$C, B67,
Plan_Diario!$B:$B, "&gt;="&amp;C67
)</f>
        <v>11</v>
      </c>
      <c r="E67" t="str">
        <f t="shared" ref="E67:E130" si="1" xml:space="preserve"> B67 &amp; " (" &amp; D67 &amp; " GPS)"</f>
        <v>Valparaiso (11 GPS)</v>
      </c>
    </row>
    <row r="68" spans="1:5" x14ac:dyDescent="0.45">
      <c r="A68" t="str">
        <f>Plan_Diario!A68</f>
        <v>Luis</v>
      </c>
      <c r="B68" t="str">
        <f>Plan_Diario!C68</f>
        <v>Valparaiso</v>
      </c>
      <c r="C68">
        <f>Plan_Diario!B68</f>
        <v>9</v>
      </c>
      <c r="D68">
        <f>COUNTIFS(
Plan_Diario!$A:$A, A68,
Plan_Diario!$C:$C, B68,
Plan_Diario!$B:$B, "&gt;="&amp;C68
)</f>
        <v>10</v>
      </c>
      <c r="E68" t="str">
        <f t="shared" si="1"/>
        <v>Valparaiso (10 GPS)</v>
      </c>
    </row>
    <row r="69" spans="1:5" x14ac:dyDescent="0.45">
      <c r="A69" t="str">
        <f>Plan_Diario!A69</f>
        <v>Luis</v>
      </c>
      <c r="B69" t="str">
        <f>Plan_Diario!C69</f>
        <v>Valparaiso</v>
      </c>
      <c r="C69">
        <f>Plan_Diario!B69</f>
        <v>10</v>
      </c>
      <c r="D69">
        <f>COUNTIFS(
Plan_Diario!$A:$A, A69,
Plan_Diario!$C:$C, B69,
Plan_Diario!$B:$B, "&gt;="&amp;C69
)</f>
        <v>9</v>
      </c>
      <c r="E69" t="str">
        <f t="shared" si="1"/>
        <v>Valparaiso (9 GPS)</v>
      </c>
    </row>
    <row r="70" spans="1:5" x14ac:dyDescent="0.45">
      <c r="A70" t="str">
        <f>Plan_Diario!A70</f>
        <v>Luis</v>
      </c>
      <c r="B70" t="str">
        <f>Plan_Diario!C70</f>
        <v>Valparaiso</v>
      </c>
      <c r="C70">
        <f>Plan_Diario!B70</f>
        <v>11</v>
      </c>
      <c r="D70">
        <f>COUNTIFS(
Plan_Diario!$A:$A, A70,
Plan_Diario!$C:$C, B70,
Plan_Diario!$B:$B, "&gt;="&amp;C70
)</f>
        <v>8</v>
      </c>
      <c r="E70" t="str">
        <f t="shared" si="1"/>
        <v>Valparaiso (8 GPS)</v>
      </c>
    </row>
    <row r="71" spans="1:5" x14ac:dyDescent="0.45">
      <c r="A71" t="str">
        <f>Plan_Diario!A71</f>
        <v>Luis</v>
      </c>
      <c r="B71" t="str">
        <f>Plan_Diario!C71</f>
        <v>Valparaiso</v>
      </c>
      <c r="C71">
        <f>Plan_Diario!B71</f>
        <v>12</v>
      </c>
      <c r="D71">
        <f>COUNTIFS(
Plan_Diario!$A:$A, A71,
Plan_Diario!$C:$C, B71,
Plan_Diario!$B:$B, "&gt;="&amp;C71
)</f>
        <v>7</v>
      </c>
      <c r="E71" t="str">
        <f t="shared" si="1"/>
        <v>Valparaiso (7 GPS)</v>
      </c>
    </row>
    <row r="72" spans="1:5" x14ac:dyDescent="0.45">
      <c r="A72" t="str">
        <f>Plan_Diario!A72</f>
        <v>Luis</v>
      </c>
      <c r="B72" t="str">
        <f>Plan_Diario!C72</f>
        <v>Valparaiso</v>
      </c>
      <c r="C72">
        <f>Plan_Diario!B72</f>
        <v>13</v>
      </c>
      <c r="D72">
        <f>COUNTIFS(
Plan_Diario!$A:$A, A72,
Plan_Diario!$C:$C, B72,
Plan_Diario!$B:$B, "&gt;="&amp;C72
)</f>
        <v>6</v>
      </c>
      <c r="E72" t="str">
        <f t="shared" si="1"/>
        <v>Valparaiso (6 GPS)</v>
      </c>
    </row>
    <row r="73" spans="1:5" x14ac:dyDescent="0.45">
      <c r="A73" t="str">
        <f>Plan_Diario!A73</f>
        <v>Luis</v>
      </c>
      <c r="B73" t="str">
        <f>Plan_Diario!C73</f>
        <v>Valparaiso</v>
      </c>
      <c r="C73">
        <f>Plan_Diario!B73</f>
        <v>14</v>
      </c>
      <c r="D73">
        <f>COUNTIFS(
Plan_Diario!$A:$A, A73,
Plan_Diario!$C:$C, B73,
Plan_Diario!$B:$B, "&gt;="&amp;C73
)</f>
        <v>5</v>
      </c>
      <c r="E73" t="str">
        <f t="shared" si="1"/>
        <v>Valparaiso (5 GPS)</v>
      </c>
    </row>
    <row r="74" spans="1:5" x14ac:dyDescent="0.45">
      <c r="A74" t="str">
        <f>Plan_Diario!A74</f>
        <v>Luis</v>
      </c>
      <c r="B74" t="str">
        <f>Plan_Diario!C74</f>
        <v>Valparaiso</v>
      </c>
      <c r="C74">
        <f>Plan_Diario!B74</f>
        <v>15</v>
      </c>
      <c r="D74">
        <f>COUNTIFS(
Plan_Diario!$A:$A, A74,
Plan_Diario!$C:$C, B74,
Plan_Diario!$B:$B, "&gt;="&amp;C74
)</f>
        <v>4</v>
      </c>
      <c r="E74" t="str">
        <f t="shared" si="1"/>
        <v>Valparaiso (4 GPS)</v>
      </c>
    </row>
    <row r="75" spans="1:5" x14ac:dyDescent="0.45">
      <c r="A75" t="str">
        <f>Plan_Diario!A75</f>
        <v>Luis</v>
      </c>
      <c r="B75" t="str">
        <f>Plan_Diario!C75</f>
        <v>Valparaiso</v>
      </c>
      <c r="C75">
        <f>Plan_Diario!B75</f>
        <v>16</v>
      </c>
      <c r="D75">
        <f>COUNTIFS(
Plan_Diario!$A:$A, A75,
Plan_Diario!$C:$C, B75,
Plan_Diario!$B:$B, "&gt;="&amp;C75
)</f>
        <v>3</v>
      </c>
      <c r="E75" t="str">
        <f t="shared" si="1"/>
        <v>Valparaiso (3 GPS)</v>
      </c>
    </row>
    <row r="76" spans="1:5" x14ac:dyDescent="0.45">
      <c r="A76" t="str">
        <f>Plan_Diario!A76</f>
        <v>Luis</v>
      </c>
      <c r="B76" t="str">
        <f>Plan_Diario!C76</f>
        <v>Valparaiso</v>
      </c>
      <c r="C76">
        <f>Plan_Diario!B76</f>
        <v>17</v>
      </c>
      <c r="D76">
        <f>COUNTIFS(
Plan_Diario!$A:$A, A76,
Plan_Diario!$C:$C, B76,
Plan_Diario!$B:$B, "&gt;="&amp;C76
)</f>
        <v>2</v>
      </c>
      <c r="E76" t="str">
        <f t="shared" si="1"/>
        <v>Valparaiso (2 GPS)</v>
      </c>
    </row>
    <row r="77" spans="1:5" x14ac:dyDescent="0.45">
      <c r="A77" t="str">
        <f>Plan_Diario!A77</f>
        <v>Luis</v>
      </c>
      <c r="B77" t="str">
        <f>Plan_Diario!C77</f>
        <v>Valparaiso</v>
      </c>
      <c r="C77">
        <f>Plan_Diario!B77</f>
        <v>18</v>
      </c>
      <c r="D77">
        <f>COUNTIFS(
Plan_Diario!$A:$A, A77,
Plan_Diario!$C:$C, B77,
Plan_Diario!$B:$B, "&gt;="&amp;C77
)</f>
        <v>1</v>
      </c>
      <c r="E77" t="str">
        <f t="shared" si="1"/>
        <v>Valparaiso (1 GPS)</v>
      </c>
    </row>
    <row r="78" spans="1:5" x14ac:dyDescent="0.45">
      <c r="A78" t="str">
        <f>Plan_Diario!A78</f>
        <v>Luis</v>
      </c>
      <c r="B78" t="str">
        <f>Plan_Diario!C78</f>
        <v>Ovalle</v>
      </c>
      <c r="C78">
        <f>Plan_Diario!B78</f>
        <v>19</v>
      </c>
      <c r="D78">
        <f>COUNTIFS(
Plan_Diario!$A:$A, A78,
Plan_Diario!$C:$C, B78,
Plan_Diario!$B:$B, "&gt;="&amp;C78
)</f>
        <v>1</v>
      </c>
      <c r="E78" t="str">
        <f t="shared" si="1"/>
        <v>Ovalle (1 GPS)</v>
      </c>
    </row>
    <row r="79" spans="1:5" x14ac:dyDescent="0.45">
      <c r="A79" t="str">
        <f>Plan_Diario!A79</f>
        <v>Luis</v>
      </c>
      <c r="B79" t="str">
        <f>Plan_Diario!C79</f>
        <v>Coquimbo</v>
      </c>
      <c r="C79">
        <f>Plan_Diario!B79</f>
        <v>20</v>
      </c>
      <c r="D79">
        <f>COUNTIFS(
Plan_Diario!$A:$A, A79,
Plan_Diario!$C:$C, B79,
Plan_Diario!$B:$B, "&gt;="&amp;C79
)</f>
        <v>2</v>
      </c>
      <c r="E79" t="str">
        <f t="shared" si="1"/>
        <v>Coquimbo (2 GPS)</v>
      </c>
    </row>
    <row r="80" spans="1:5" x14ac:dyDescent="0.45">
      <c r="A80" t="str">
        <f>Plan_Diario!A80</f>
        <v>Luis</v>
      </c>
      <c r="B80" t="str">
        <f>Plan_Diario!C80</f>
        <v>Coquimbo</v>
      </c>
      <c r="C80">
        <f>Plan_Diario!B80</f>
        <v>21</v>
      </c>
      <c r="D80">
        <f>COUNTIFS(
Plan_Diario!$A:$A, A80,
Plan_Diario!$C:$C, B80,
Plan_Diario!$B:$B, "&gt;="&amp;C80
)</f>
        <v>1</v>
      </c>
      <c r="E80" t="str">
        <f t="shared" si="1"/>
        <v>Coquimbo (1 GPS)</v>
      </c>
    </row>
    <row r="81" spans="1:5" x14ac:dyDescent="0.45">
      <c r="A81" t="str">
        <f>Plan_Diario!A81</f>
        <v>Luis</v>
      </c>
      <c r="B81" t="str">
        <f>Plan_Diario!C81</f>
        <v>Santiago</v>
      </c>
      <c r="C81">
        <f>Plan_Diario!B81</f>
        <v>22</v>
      </c>
      <c r="D81">
        <f>COUNTIFS(
Plan_Diario!$A:$A, A81,
Plan_Diario!$C:$C, B81,
Plan_Diario!$B:$B, "&gt;="&amp;C81
)</f>
        <v>3</v>
      </c>
      <c r="E81" t="str">
        <f t="shared" si="1"/>
        <v>Santiago (3 GPS)</v>
      </c>
    </row>
    <row r="82" spans="1:5" x14ac:dyDescent="0.45">
      <c r="A82" t="str">
        <f>Plan_Diario!A82</f>
        <v>Luis</v>
      </c>
      <c r="B82" t="str">
        <f>Plan_Diario!C82</f>
        <v>Santiago</v>
      </c>
      <c r="C82">
        <f>Plan_Diario!B82</f>
        <v>23</v>
      </c>
      <c r="D82">
        <f>COUNTIFS(
Plan_Diario!$A:$A, A82,
Plan_Diario!$C:$C, B82,
Plan_Diario!$B:$B, "&gt;="&amp;C82
)</f>
        <v>2</v>
      </c>
      <c r="E82" t="str">
        <f t="shared" si="1"/>
        <v>Santiago (2 GPS)</v>
      </c>
    </row>
    <row r="83" spans="1:5" x14ac:dyDescent="0.45">
      <c r="A83" t="str">
        <f>Plan_Diario!A83</f>
        <v>Luis</v>
      </c>
      <c r="B83" t="str">
        <f>Plan_Diario!C83</f>
        <v>Santiago</v>
      </c>
      <c r="C83">
        <f>Plan_Diario!B83</f>
        <v>24</v>
      </c>
      <c r="D83">
        <f>COUNTIFS(
Plan_Diario!$A:$A, A83,
Plan_Diario!$C:$C, B83,
Plan_Diario!$B:$B, "&gt;="&amp;C83
)</f>
        <v>1</v>
      </c>
      <c r="E83" t="str">
        <f t="shared" si="1"/>
        <v>Santiago (1 GPS)</v>
      </c>
    </row>
    <row r="84" spans="1:5" x14ac:dyDescent="0.45">
      <c r="A84" t="str">
        <f>Plan_Diario!A84</f>
        <v>Orlando</v>
      </c>
      <c r="B84" t="str">
        <f>Plan_Diario!C84</f>
        <v>Mejillones</v>
      </c>
      <c r="C84">
        <f>Plan_Diario!B84</f>
        <v>1</v>
      </c>
      <c r="D84">
        <f>COUNTIFS(
Plan_Diario!$A:$A, A84,
Plan_Diario!$C:$C, B84,
Plan_Diario!$B:$B, "&gt;="&amp;C84
)</f>
        <v>15</v>
      </c>
      <c r="E84" t="str">
        <f t="shared" si="1"/>
        <v>Mejillones (15 GPS)</v>
      </c>
    </row>
    <row r="85" spans="1:5" x14ac:dyDescent="0.45">
      <c r="A85" t="str">
        <f>Plan_Diario!A85</f>
        <v>Orlando</v>
      </c>
      <c r="B85" t="str">
        <f>Plan_Diario!C85</f>
        <v>Mejillones</v>
      </c>
      <c r="C85">
        <f>Plan_Diario!B85</f>
        <v>2</v>
      </c>
      <c r="D85">
        <f>COUNTIFS(
Plan_Diario!$A:$A, A85,
Plan_Diario!$C:$C, B85,
Plan_Diario!$B:$B, "&gt;="&amp;C85
)</f>
        <v>14</v>
      </c>
      <c r="E85" t="str">
        <f t="shared" si="1"/>
        <v>Mejillones (14 GPS)</v>
      </c>
    </row>
    <row r="86" spans="1:5" x14ac:dyDescent="0.45">
      <c r="A86" t="str">
        <f>Plan_Diario!A86</f>
        <v>Orlando</v>
      </c>
      <c r="B86" t="str">
        <f>Plan_Diario!C86</f>
        <v>Mejillones</v>
      </c>
      <c r="C86">
        <f>Plan_Diario!B86</f>
        <v>3</v>
      </c>
      <c r="D86">
        <f>COUNTIFS(
Plan_Diario!$A:$A, A86,
Plan_Diario!$C:$C, B86,
Plan_Diario!$B:$B, "&gt;="&amp;C86
)</f>
        <v>13</v>
      </c>
      <c r="E86" t="str">
        <f t="shared" si="1"/>
        <v>Mejillones (13 GPS)</v>
      </c>
    </row>
    <row r="87" spans="1:5" x14ac:dyDescent="0.45">
      <c r="A87" t="str">
        <f>Plan_Diario!A87</f>
        <v>Orlando</v>
      </c>
      <c r="B87" t="str">
        <f>Plan_Diario!C87</f>
        <v>Mejillones</v>
      </c>
      <c r="C87">
        <f>Plan_Diario!B87</f>
        <v>4</v>
      </c>
      <c r="D87">
        <f>COUNTIFS(
Plan_Diario!$A:$A, A87,
Plan_Diario!$C:$C, B87,
Plan_Diario!$B:$B, "&gt;="&amp;C87
)</f>
        <v>12</v>
      </c>
      <c r="E87" t="str">
        <f t="shared" si="1"/>
        <v>Mejillones (12 GPS)</v>
      </c>
    </row>
    <row r="88" spans="1:5" x14ac:dyDescent="0.45">
      <c r="A88" t="str">
        <f>Plan_Diario!A88</f>
        <v>Orlando</v>
      </c>
      <c r="B88" t="str">
        <f>Plan_Diario!C88</f>
        <v>Mejillones</v>
      </c>
      <c r="C88">
        <f>Plan_Diario!B88</f>
        <v>5</v>
      </c>
      <c r="D88">
        <f>COUNTIFS(
Plan_Diario!$A:$A, A88,
Plan_Diario!$C:$C, B88,
Plan_Diario!$B:$B, "&gt;="&amp;C88
)</f>
        <v>11</v>
      </c>
      <c r="E88" t="str">
        <f t="shared" si="1"/>
        <v>Mejillones (11 GPS)</v>
      </c>
    </row>
    <row r="89" spans="1:5" x14ac:dyDescent="0.45">
      <c r="A89" t="str">
        <f>Plan_Diario!A89</f>
        <v>Orlando</v>
      </c>
      <c r="B89" t="str">
        <f>Plan_Diario!C89</f>
        <v>Mejillones</v>
      </c>
      <c r="C89">
        <f>Plan_Diario!B89</f>
        <v>6</v>
      </c>
      <c r="D89">
        <f>COUNTIFS(
Plan_Diario!$A:$A, A89,
Plan_Diario!$C:$C, B89,
Plan_Diario!$B:$B, "&gt;="&amp;C89
)</f>
        <v>10</v>
      </c>
      <c r="E89" t="str">
        <f t="shared" si="1"/>
        <v>Mejillones (10 GPS)</v>
      </c>
    </row>
    <row r="90" spans="1:5" x14ac:dyDescent="0.45">
      <c r="A90" t="str">
        <f>Plan_Diario!A90</f>
        <v>Orlando</v>
      </c>
      <c r="B90" t="str">
        <f>Plan_Diario!C90</f>
        <v>Mejillones</v>
      </c>
      <c r="C90">
        <f>Plan_Diario!B90</f>
        <v>7</v>
      </c>
      <c r="D90">
        <f>COUNTIFS(
Plan_Diario!$A:$A, A90,
Plan_Diario!$C:$C, B90,
Plan_Diario!$B:$B, "&gt;="&amp;C90
)</f>
        <v>9</v>
      </c>
      <c r="E90" t="str">
        <f t="shared" si="1"/>
        <v>Mejillones (9 GPS)</v>
      </c>
    </row>
    <row r="91" spans="1:5" x14ac:dyDescent="0.45">
      <c r="A91" t="str">
        <f>Plan_Diario!A91</f>
        <v>Orlando</v>
      </c>
      <c r="B91" t="str">
        <f>Plan_Diario!C91</f>
        <v>Mejillones</v>
      </c>
      <c r="C91">
        <f>Plan_Diario!B91</f>
        <v>8</v>
      </c>
      <c r="D91">
        <f>COUNTIFS(
Plan_Diario!$A:$A, A91,
Plan_Diario!$C:$C, B91,
Plan_Diario!$B:$B, "&gt;="&amp;C91
)</f>
        <v>8</v>
      </c>
      <c r="E91" t="str">
        <f t="shared" si="1"/>
        <v>Mejillones (8 GPS)</v>
      </c>
    </row>
    <row r="92" spans="1:5" x14ac:dyDescent="0.45">
      <c r="A92" t="str">
        <f>Plan_Diario!A92</f>
        <v>Orlando</v>
      </c>
      <c r="B92" t="str">
        <f>Plan_Diario!C92</f>
        <v>Mejillones</v>
      </c>
      <c r="C92">
        <f>Plan_Diario!B92</f>
        <v>9</v>
      </c>
      <c r="D92">
        <f>COUNTIFS(
Plan_Diario!$A:$A, A92,
Plan_Diario!$C:$C, B92,
Plan_Diario!$B:$B, "&gt;="&amp;C92
)</f>
        <v>7</v>
      </c>
      <c r="E92" t="str">
        <f t="shared" si="1"/>
        <v>Mejillones (7 GPS)</v>
      </c>
    </row>
    <row r="93" spans="1:5" x14ac:dyDescent="0.45">
      <c r="A93" t="str">
        <f>Plan_Diario!A93</f>
        <v>Orlando</v>
      </c>
      <c r="B93" t="str">
        <f>Plan_Diario!C93</f>
        <v>Mejillones</v>
      </c>
      <c r="C93">
        <f>Plan_Diario!B93</f>
        <v>10</v>
      </c>
      <c r="D93">
        <f>COUNTIFS(
Plan_Diario!$A:$A, A93,
Plan_Diario!$C:$C, B93,
Plan_Diario!$B:$B, "&gt;="&amp;C93
)</f>
        <v>6</v>
      </c>
      <c r="E93" t="str">
        <f t="shared" si="1"/>
        <v>Mejillones (6 GPS)</v>
      </c>
    </row>
    <row r="94" spans="1:5" x14ac:dyDescent="0.45">
      <c r="A94" t="str">
        <f>Plan_Diario!A94</f>
        <v>Orlando</v>
      </c>
      <c r="B94" t="str">
        <f>Plan_Diario!C94</f>
        <v>Mejillones</v>
      </c>
      <c r="C94">
        <f>Plan_Diario!B94</f>
        <v>11</v>
      </c>
      <c r="D94">
        <f>COUNTIFS(
Plan_Diario!$A:$A, A94,
Plan_Diario!$C:$C, B94,
Plan_Diario!$B:$B, "&gt;="&amp;C94
)</f>
        <v>5</v>
      </c>
      <c r="E94" t="str">
        <f t="shared" si="1"/>
        <v>Mejillones (5 GPS)</v>
      </c>
    </row>
    <row r="95" spans="1:5" x14ac:dyDescent="0.45">
      <c r="A95" t="str">
        <f>Plan_Diario!A95</f>
        <v>Orlando</v>
      </c>
      <c r="B95" t="str">
        <f>Plan_Diario!C95</f>
        <v>Mejillones</v>
      </c>
      <c r="C95">
        <f>Plan_Diario!B95</f>
        <v>12</v>
      </c>
      <c r="D95">
        <f>COUNTIFS(
Plan_Diario!$A:$A, A95,
Plan_Diario!$C:$C, B95,
Plan_Diario!$B:$B, "&gt;="&amp;C95
)</f>
        <v>4</v>
      </c>
      <c r="E95" t="str">
        <f t="shared" si="1"/>
        <v>Mejillones (4 GPS)</v>
      </c>
    </row>
    <row r="96" spans="1:5" x14ac:dyDescent="0.45">
      <c r="A96" t="str">
        <f>Plan_Diario!A96</f>
        <v>Orlando</v>
      </c>
      <c r="B96" t="str">
        <f>Plan_Diario!C96</f>
        <v>Mejillones</v>
      </c>
      <c r="C96">
        <f>Plan_Diario!B96</f>
        <v>13</v>
      </c>
      <c r="D96">
        <f>COUNTIFS(
Plan_Diario!$A:$A, A96,
Plan_Diario!$C:$C, B96,
Plan_Diario!$B:$B, "&gt;="&amp;C96
)</f>
        <v>3</v>
      </c>
      <c r="E96" t="str">
        <f t="shared" si="1"/>
        <v>Mejillones (3 GPS)</v>
      </c>
    </row>
    <row r="97" spans="1:5" x14ac:dyDescent="0.45">
      <c r="A97" t="str">
        <f>Plan_Diario!A97</f>
        <v>Orlando</v>
      </c>
      <c r="B97" t="str">
        <f>Plan_Diario!C97</f>
        <v>Mejillones</v>
      </c>
      <c r="C97">
        <f>Plan_Diario!B97</f>
        <v>14</v>
      </c>
      <c r="D97">
        <f>COUNTIFS(
Plan_Diario!$A:$A, A97,
Plan_Diario!$C:$C, B97,
Plan_Diario!$B:$B, "&gt;="&amp;C97
)</f>
        <v>2</v>
      </c>
      <c r="E97" t="str">
        <f t="shared" si="1"/>
        <v>Mejillones (2 GPS)</v>
      </c>
    </row>
    <row r="98" spans="1:5" x14ac:dyDescent="0.45">
      <c r="A98" t="str">
        <f>Plan_Diario!A98</f>
        <v>Orlando</v>
      </c>
      <c r="B98" t="str">
        <f>Plan_Diario!C98</f>
        <v>Mejillones</v>
      </c>
      <c r="C98">
        <f>Plan_Diario!B98</f>
        <v>15</v>
      </c>
      <c r="D98">
        <f>COUNTIFS(
Plan_Diario!$A:$A, A98,
Plan_Diario!$C:$C, B98,
Plan_Diario!$B:$B, "&gt;="&amp;C98
)</f>
        <v>1</v>
      </c>
      <c r="E98" t="str">
        <f t="shared" si="1"/>
        <v>Mejillones (1 GPS)</v>
      </c>
    </row>
    <row r="99" spans="1:5" x14ac:dyDescent="0.45">
      <c r="A99" t="str">
        <f>Plan_Diario!A99</f>
        <v>Orlando</v>
      </c>
      <c r="B99" t="str">
        <f>Plan_Diario!C99</f>
        <v>Antofagasta</v>
      </c>
      <c r="C99">
        <f>Plan_Diario!B99</f>
        <v>16</v>
      </c>
      <c r="D99">
        <f>COUNTIFS(
Plan_Diario!$A:$A, A99,
Plan_Diario!$C:$C, B99,
Plan_Diario!$B:$B, "&gt;="&amp;C99
)</f>
        <v>4</v>
      </c>
      <c r="E99" t="str">
        <f t="shared" si="1"/>
        <v>Antofagasta (4 GPS)</v>
      </c>
    </row>
    <row r="100" spans="1:5" x14ac:dyDescent="0.45">
      <c r="A100" t="str">
        <f>Plan_Diario!A100</f>
        <v>Orlando</v>
      </c>
      <c r="B100" t="str">
        <f>Plan_Diario!C100</f>
        <v>Antofagasta</v>
      </c>
      <c r="C100">
        <f>Plan_Diario!B100</f>
        <v>17</v>
      </c>
      <c r="D100">
        <f>COUNTIFS(
Plan_Diario!$A:$A, A100,
Plan_Diario!$C:$C, B100,
Plan_Diario!$B:$B, "&gt;="&amp;C100
)</f>
        <v>3</v>
      </c>
      <c r="E100" t="str">
        <f t="shared" si="1"/>
        <v>Antofagasta (3 GPS)</v>
      </c>
    </row>
    <row r="101" spans="1:5" x14ac:dyDescent="0.45">
      <c r="A101" t="str">
        <f>Plan_Diario!A101</f>
        <v>Orlando</v>
      </c>
      <c r="B101" t="str">
        <f>Plan_Diario!C101</f>
        <v>Antofagasta</v>
      </c>
      <c r="C101">
        <f>Plan_Diario!B101</f>
        <v>18</v>
      </c>
      <c r="D101">
        <f>COUNTIFS(
Plan_Diario!$A:$A, A101,
Plan_Diario!$C:$C, B101,
Plan_Diario!$B:$B, "&gt;="&amp;C101
)</f>
        <v>2</v>
      </c>
      <c r="E101" t="str">
        <f t="shared" si="1"/>
        <v>Antofagasta (2 GPS)</v>
      </c>
    </row>
    <row r="102" spans="1:5" x14ac:dyDescent="0.45">
      <c r="A102" t="str">
        <f>Plan_Diario!A102</f>
        <v>Orlando</v>
      </c>
      <c r="B102" t="str">
        <f>Plan_Diario!C102</f>
        <v>Antofagasta</v>
      </c>
      <c r="C102">
        <f>Plan_Diario!B102</f>
        <v>19</v>
      </c>
      <c r="D102">
        <f>COUNTIFS(
Plan_Diario!$A:$A, A102,
Plan_Diario!$C:$C, B102,
Plan_Diario!$B:$B, "&gt;="&amp;C102
)</f>
        <v>1</v>
      </c>
      <c r="E102" t="str">
        <f t="shared" si="1"/>
        <v>Antofagasta (1 GPS)</v>
      </c>
    </row>
    <row r="103" spans="1:5" x14ac:dyDescent="0.45">
      <c r="A103" t="str">
        <f>Plan_Diario!A103</f>
        <v>Orlando</v>
      </c>
      <c r="B103" t="str">
        <f>Plan_Diario!C103</f>
        <v>Caldera</v>
      </c>
      <c r="C103">
        <f>Plan_Diario!B103</f>
        <v>20</v>
      </c>
      <c r="D103">
        <f>COUNTIFS(
Plan_Diario!$A:$A, A103,
Plan_Diario!$C:$C, B103,
Plan_Diario!$B:$B, "&gt;="&amp;C103
)</f>
        <v>4</v>
      </c>
      <c r="E103" t="str">
        <f t="shared" si="1"/>
        <v>Caldera (4 GPS)</v>
      </c>
    </row>
    <row r="104" spans="1:5" x14ac:dyDescent="0.45">
      <c r="A104" t="str">
        <f>Plan_Diario!A104</f>
        <v>Orlando</v>
      </c>
      <c r="B104" t="str">
        <f>Plan_Diario!C104</f>
        <v>Caldera</v>
      </c>
      <c r="C104">
        <f>Plan_Diario!B104</f>
        <v>21</v>
      </c>
      <c r="D104">
        <f>COUNTIFS(
Plan_Diario!$A:$A, A104,
Plan_Diario!$C:$C, B104,
Plan_Diario!$B:$B, "&gt;="&amp;C104
)</f>
        <v>3</v>
      </c>
      <c r="E104" t="str">
        <f t="shared" si="1"/>
        <v>Caldera (3 GPS)</v>
      </c>
    </row>
    <row r="105" spans="1:5" x14ac:dyDescent="0.45">
      <c r="A105" t="str">
        <f>Plan_Diario!A105</f>
        <v>Orlando</v>
      </c>
      <c r="B105" t="str">
        <f>Plan_Diario!C105</f>
        <v>Caldera</v>
      </c>
      <c r="C105">
        <f>Plan_Diario!B105</f>
        <v>22</v>
      </c>
      <c r="D105">
        <f>COUNTIFS(
Plan_Diario!$A:$A, A105,
Plan_Diario!$C:$C, B105,
Plan_Diario!$B:$B, "&gt;="&amp;C105
)</f>
        <v>2</v>
      </c>
      <c r="E105" t="str">
        <f t="shared" si="1"/>
        <v>Caldera (2 GPS)</v>
      </c>
    </row>
    <row r="106" spans="1:5" x14ac:dyDescent="0.45">
      <c r="A106" t="str">
        <f>Plan_Diario!A106</f>
        <v>Orlando</v>
      </c>
      <c r="B106" t="str">
        <f>Plan_Diario!C106</f>
        <v>Caldera</v>
      </c>
      <c r="C106">
        <f>Plan_Diario!B106</f>
        <v>23</v>
      </c>
      <c r="D106">
        <f>COUNTIFS(
Plan_Diario!$A:$A, A106,
Plan_Diario!$C:$C, B106,
Plan_Diario!$B:$B, "&gt;="&amp;C106
)</f>
        <v>1</v>
      </c>
      <c r="E106" t="str">
        <f t="shared" si="1"/>
        <v>Caldera (1 GPS)</v>
      </c>
    </row>
    <row r="107" spans="1:5" x14ac:dyDescent="0.45">
      <c r="A107" t="str">
        <f>Plan_Diario!A107</f>
        <v>Wilmer</v>
      </c>
      <c r="B107" t="str">
        <f>Plan_Diario!C107</f>
        <v>San Antonio</v>
      </c>
      <c r="C107">
        <f>Plan_Diario!B107</f>
        <v>1</v>
      </c>
      <c r="D107">
        <f>COUNTIFS(
Plan_Diario!$A:$A, A107,
Plan_Diario!$C:$C, B107,
Plan_Diario!$B:$B, "&gt;="&amp;C107
)</f>
        <v>1</v>
      </c>
      <c r="E107" t="str">
        <f t="shared" si="1"/>
        <v>San Antonio (1 GPS)</v>
      </c>
    </row>
    <row r="108" spans="1:5" x14ac:dyDescent="0.45">
      <c r="A108" t="str">
        <f>Plan_Diario!A108</f>
        <v>Wilmer</v>
      </c>
      <c r="B108" t="str">
        <f>Plan_Diario!C108</f>
        <v>San Vicente</v>
      </c>
      <c r="C108">
        <f>Plan_Diario!B108</f>
        <v>2</v>
      </c>
      <c r="D108">
        <f>COUNTIFS(
Plan_Diario!$A:$A, A108,
Plan_Diario!$C:$C, B108,
Plan_Diario!$B:$B, "&gt;="&amp;C108
)</f>
        <v>11</v>
      </c>
      <c r="E108" t="str">
        <f t="shared" si="1"/>
        <v>San Vicente (11 GPS)</v>
      </c>
    </row>
    <row r="109" spans="1:5" x14ac:dyDescent="0.45">
      <c r="A109" t="str">
        <f>Plan_Diario!A109</f>
        <v>Wilmer</v>
      </c>
      <c r="B109" t="str">
        <f>Plan_Diario!C109</f>
        <v>San Vicente</v>
      </c>
      <c r="C109">
        <f>Plan_Diario!B109</f>
        <v>3</v>
      </c>
      <c r="D109">
        <f>COUNTIFS(
Plan_Diario!$A:$A, A109,
Plan_Diario!$C:$C, B109,
Plan_Diario!$B:$B, "&gt;="&amp;C109
)</f>
        <v>10</v>
      </c>
      <c r="E109" t="str">
        <f t="shared" si="1"/>
        <v>San Vicente (10 GPS)</v>
      </c>
    </row>
    <row r="110" spans="1:5" x14ac:dyDescent="0.45">
      <c r="A110" t="str">
        <f>Plan_Diario!A110</f>
        <v>Wilmer</v>
      </c>
      <c r="B110" t="str">
        <f>Plan_Diario!C110</f>
        <v>San Vicente</v>
      </c>
      <c r="C110">
        <f>Plan_Diario!B110</f>
        <v>4</v>
      </c>
      <c r="D110">
        <f>COUNTIFS(
Plan_Diario!$A:$A, A110,
Plan_Diario!$C:$C, B110,
Plan_Diario!$B:$B, "&gt;="&amp;C110
)</f>
        <v>9</v>
      </c>
      <c r="E110" t="str">
        <f t="shared" si="1"/>
        <v>San Vicente (9 GPS)</v>
      </c>
    </row>
    <row r="111" spans="1:5" x14ac:dyDescent="0.45">
      <c r="A111" t="str">
        <f>Plan_Diario!A111</f>
        <v>Wilmer</v>
      </c>
      <c r="B111" t="str">
        <f>Plan_Diario!C111</f>
        <v>San Vicente</v>
      </c>
      <c r="C111">
        <f>Plan_Diario!B111</f>
        <v>5</v>
      </c>
      <c r="D111">
        <f>COUNTIFS(
Plan_Diario!$A:$A, A111,
Plan_Diario!$C:$C, B111,
Plan_Diario!$B:$B, "&gt;="&amp;C111
)</f>
        <v>8</v>
      </c>
      <c r="E111" t="str">
        <f t="shared" si="1"/>
        <v>San Vicente (8 GPS)</v>
      </c>
    </row>
    <row r="112" spans="1:5" x14ac:dyDescent="0.45">
      <c r="A112" t="str">
        <f>Plan_Diario!A112</f>
        <v>Wilmer</v>
      </c>
      <c r="B112" t="str">
        <f>Plan_Diario!C112</f>
        <v>San Vicente</v>
      </c>
      <c r="C112">
        <f>Plan_Diario!B112</f>
        <v>6</v>
      </c>
      <c r="D112">
        <f>COUNTIFS(
Plan_Diario!$A:$A, A112,
Plan_Diario!$C:$C, B112,
Plan_Diario!$B:$B, "&gt;="&amp;C112
)</f>
        <v>7</v>
      </c>
      <c r="E112" t="str">
        <f t="shared" si="1"/>
        <v>San Vicente (7 GPS)</v>
      </c>
    </row>
    <row r="113" spans="1:5" x14ac:dyDescent="0.45">
      <c r="A113" t="str">
        <f>Plan_Diario!A113</f>
        <v>Wilmer</v>
      </c>
      <c r="B113" t="str">
        <f>Plan_Diario!C113</f>
        <v>San Vicente</v>
      </c>
      <c r="C113">
        <f>Plan_Diario!B113</f>
        <v>7</v>
      </c>
      <c r="D113">
        <f>COUNTIFS(
Plan_Diario!$A:$A, A113,
Plan_Diario!$C:$C, B113,
Plan_Diario!$B:$B, "&gt;="&amp;C113
)</f>
        <v>6</v>
      </c>
      <c r="E113" t="str">
        <f t="shared" si="1"/>
        <v>San Vicente (6 GPS)</v>
      </c>
    </row>
    <row r="114" spans="1:5" x14ac:dyDescent="0.45">
      <c r="A114" t="str">
        <f>Plan_Diario!A114</f>
        <v>Wilmer</v>
      </c>
      <c r="B114" t="str">
        <f>Plan_Diario!C114</f>
        <v>San Vicente</v>
      </c>
      <c r="C114">
        <f>Plan_Diario!B114</f>
        <v>8</v>
      </c>
      <c r="D114">
        <f>COUNTIFS(
Plan_Diario!$A:$A, A114,
Plan_Diario!$C:$C, B114,
Plan_Diario!$B:$B, "&gt;="&amp;C114
)</f>
        <v>5</v>
      </c>
      <c r="E114" t="str">
        <f t="shared" si="1"/>
        <v>San Vicente (5 GPS)</v>
      </c>
    </row>
    <row r="115" spans="1:5" x14ac:dyDescent="0.45">
      <c r="A115" t="str">
        <f>Plan_Diario!A115</f>
        <v>Wilmer</v>
      </c>
      <c r="B115" t="str">
        <f>Plan_Diario!C115</f>
        <v>San Vicente</v>
      </c>
      <c r="C115">
        <f>Plan_Diario!B115</f>
        <v>9</v>
      </c>
      <c r="D115">
        <f>COUNTIFS(
Plan_Diario!$A:$A, A115,
Plan_Diario!$C:$C, B115,
Plan_Diario!$B:$B, "&gt;="&amp;C115
)</f>
        <v>4</v>
      </c>
      <c r="E115" t="str">
        <f t="shared" si="1"/>
        <v>San Vicente (4 GPS)</v>
      </c>
    </row>
    <row r="116" spans="1:5" x14ac:dyDescent="0.45">
      <c r="A116" t="str">
        <f>Plan_Diario!A116</f>
        <v>Wilmer</v>
      </c>
      <c r="B116" t="str">
        <f>Plan_Diario!C116</f>
        <v>San Vicente</v>
      </c>
      <c r="C116">
        <f>Plan_Diario!B116</f>
        <v>10</v>
      </c>
      <c r="D116">
        <f>COUNTIFS(
Plan_Diario!$A:$A, A116,
Plan_Diario!$C:$C, B116,
Plan_Diario!$B:$B, "&gt;="&amp;C116
)</f>
        <v>3</v>
      </c>
      <c r="E116" t="str">
        <f t="shared" si="1"/>
        <v>San Vicente (3 GPS)</v>
      </c>
    </row>
    <row r="117" spans="1:5" x14ac:dyDescent="0.45">
      <c r="A117" t="str">
        <f>Plan_Diario!A117</f>
        <v>Wilmer</v>
      </c>
      <c r="B117" t="str">
        <f>Plan_Diario!C117</f>
        <v>San Vicente</v>
      </c>
      <c r="C117">
        <f>Plan_Diario!B117</f>
        <v>11</v>
      </c>
      <c r="D117">
        <f>COUNTIFS(
Plan_Diario!$A:$A, A117,
Plan_Diario!$C:$C, B117,
Plan_Diario!$B:$B, "&gt;="&amp;C117
)</f>
        <v>2</v>
      </c>
      <c r="E117" t="str">
        <f t="shared" si="1"/>
        <v>San Vicente (2 GPS)</v>
      </c>
    </row>
    <row r="118" spans="1:5" x14ac:dyDescent="0.45">
      <c r="A118" t="str">
        <f>Plan_Diario!A118</f>
        <v>Wilmer</v>
      </c>
      <c r="B118" t="str">
        <f>Plan_Diario!C118</f>
        <v>San Vicente</v>
      </c>
      <c r="C118">
        <f>Plan_Diario!B118</f>
        <v>12</v>
      </c>
      <c r="D118">
        <f>COUNTIFS(
Plan_Diario!$A:$A, A118,
Plan_Diario!$C:$C, B118,
Plan_Diario!$B:$B, "&gt;="&amp;C118
)</f>
        <v>1</v>
      </c>
      <c r="E118" t="str">
        <f t="shared" si="1"/>
        <v>San Vicente (1 GPS)</v>
      </c>
    </row>
    <row r="119" spans="1:5" x14ac:dyDescent="0.45">
      <c r="A119" t="str">
        <f>Plan_Diario!A119</f>
        <v>Wilmer</v>
      </c>
      <c r="B119" t="str">
        <f>Plan_Diario!C119</f>
        <v>San Fernando</v>
      </c>
      <c r="C119">
        <f>Plan_Diario!B119</f>
        <v>13</v>
      </c>
      <c r="D119">
        <f>COUNTIFS(
Plan_Diario!$A:$A, A119,
Plan_Diario!$C:$C, B119,
Plan_Diario!$B:$B, "&gt;="&amp;C119
)</f>
        <v>5</v>
      </c>
      <c r="E119" t="str">
        <f t="shared" si="1"/>
        <v>San Fernando (5 GPS)</v>
      </c>
    </row>
    <row r="120" spans="1:5" x14ac:dyDescent="0.45">
      <c r="A120" t="str">
        <f>Plan_Diario!A120</f>
        <v>Wilmer</v>
      </c>
      <c r="B120" t="str">
        <f>Plan_Diario!C120</f>
        <v>San Fernando</v>
      </c>
      <c r="C120">
        <f>Plan_Diario!B120</f>
        <v>14</v>
      </c>
      <c r="D120">
        <f>COUNTIFS(
Plan_Diario!$A:$A, A120,
Plan_Diario!$C:$C, B120,
Plan_Diario!$B:$B, "&gt;="&amp;C120
)</f>
        <v>4</v>
      </c>
      <c r="E120" t="str">
        <f t="shared" si="1"/>
        <v>San Fernando (4 GPS)</v>
      </c>
    </row>
    <row r="121" spans="1:5" x14ac:dyDescent="0.45">
      <c r="A121" t="str">
        <f>Plan_Diario!A121</f>
        <v>Wilmer</v>
      </c>
      <c r="B121" t="str">
        <f>Plan_Diario!C121</f>
        <v>San Fernando</v>
      </c>
      <c r="C121">
        <f>Plan_Diario!B121</f>
        <v>15</v>
      </c>
      <c r="D121">
        <f>COUNTIFS(
Plan_Diario!$A:$A, A121,
Plan_Diario!$C:$C, B121,
Plan_Diario!$B:$B, "&gt;="&amp;C121
)</f>
        <v>3</v>
      </c>
      <c r="E121" t="str">
        <f t="shared" si="1"/>
        <v>San Fernando (3 GPS)</v>
      </c>
    </row>
    <row r="122" spans="1:5" x14ac:dyDescent="0.45">
      <c r="A122" t="str">
        <f>Plan_Diario!A122</f>
        <v>Wilmer</v>
      </c>
      <c r="B122" t="str">
        <f>Plan_Diario!C122</f>
        <v>San Fernando</v>
      </c>
      <c r="C122">
        <f>Plan_Diario!B122</f>
        <v>16</v>
      </c>
      <c r="D122">
        <f>COUNTIFS(
Plan_Diario!$A:$A, A122,
Plan_Diario!$C:$C, B122,
Plan_Diario!$B:$B, "&gt;="&amp;C122
)</f>
        <v>2</v>
      </c>
      <c r="E122" t="str">
        <f t="shared" si="1"/>
        <v>San Fernando (2 GPS)</v>
      </c>
    </row>
    <row r="123" spans="1:5" x14ac:dyDescent="0.45">
      <c r="A123" t="str">
        <f>Plan_Diario!A123</f>
        <v>Wilmer</v>
      </c>
      <c r="B123" t="str">
        <f>Plan_Diario!C123</f>
        <v>San Fernando</v>
      </c>
      <c r="C123">
        <f>Plan_Diario!B123</f>
        <v>17</v>
      </c>
      <c r="D123">
        <f>COUNTIFS(
Plan_Diario!$A:$A, A123,
Plan_Diario!$C:$C, B123,
Plan_Diario!$B:$B, "&gt;="&amp;C123
)</f>
        <v>1</v>
      </c>
      <c r="E123" t="str">
        <f t="shared" si="1"/>
        <v>San Fernando (1 GPS)</v>
      </c>
    </row>
    <row r="124" spans="1:5" x14ac:dyDescent="0.45">
      <c r="A124" t="str">
        <f>Plan_Diario!A124</f>
        <v>Wilmer</v>
      </c>
      <c r="B124" t="str">
        <f>Plan_Diario!C124</f>
        <v>Talca</v>
      </c>
      <c r="C124">
        <f>Plan_Diario!B124</f>
        <v>18</v>
      </c>
      <c r="D124">
        <f>COUNTIFS(
Plan_Diario!$A:$A, A124,
Plan_Diario!$C:$C, B124,
Plan_Diario!$B:$B, "&gt;="&amp;C124
)</f>
        <v>1</v>
      </c>
      <c r="E124" t="str">
        <f t="shared" si="1"/>
        <v>Talca (1 GPS)</v>
      </c>
    </row>
    <row r="125" spans="1:5" x14ac:dyDescent="0.45">
      <c r="A125" t="str">
        <f>Plan_Diario!A125</f>
        <v>Wilmer</v>
      </c>
      <c r="B125" t="str">
        <f>Plan_Diario!C125</f>
        <v>Linares</v>
      </c>
      <c r="C125">
        <f>Plan_Diario!B125</f>
        <v>19</v>
      </c>
      <c r="D125">
        <f>COUNTIFS(
Plan_Diario!$A:$A, A125,
Plan_Diario!$C:$C, B125,
Plan_Diario!$B:$B, "&gt;="&amp;C125
)</f>
        <v>1</v>
      </c>
      <c r="E125" t="str">
        <f t="shared" si="1"/>
        <v>Linares (1 GPS)</v>
      </c>
    </row>
    <row r="126" spans="1:5" x14ac:dyDescent="0.45">
      <c r="A126" t="str">
        <f>Plan_Diario!A126</f>
        <v>Wilmer</v>
      </c>
      <c r="B126" t="str">
        <f>Plan_Diario!C126</f>
        <v>Santiago</v>
      </c>
      <c r="C126">
        <f>Plan_Diario!B126</f>
        <v>20</v>
      </c>
      <c r="D126">
        <f>COUNTIFS(
Plan_Diario!$A:$A, A126,
Plan_Diario!$C:$C, B126,
Plan_Diario!$B:$B, "&gt;="&amp;C126
)</f>
        <v>5</v>
      </c>
      <c r="E126" t="str">
        <f t="shared" si="1"/>
        <v>Santiago (5 GPS)</v>
      </c>
    </row>
    <row r="127" spans="1:5" x14ac:dyDescent="0.45">
      <c r="A127" t="str">
        <f>Plan_Diario!A127</f>
        <v>Wilmer</v>
      </c>
      <c r="B127" t="str">
        <f>Plan_Diario!C127</f>
        <v>Santiago</v>
      </c>
      <c r="C127">
        <f>Plan_Diario!B127</f>
        <v>21</v>
      </c>
      <c r="D127">
        <f>COUNTIFS(
Plan_Diario!$A:$A, A127,
Plan_Diario!$C:$C, B127,
Plan_Diario!$B:$B, "&gt;="&amp;C127
)</f>
        <v>4</v>
      </c>
      <c r="E127" t="str">
        <f t="shared" si="1"/>
        <v>Santiago (4 GPS)</v>
      </c>
    </row>
    <row r="128" spans="1:5" x14ac:dyDescent="0.45">
      <c r="A128" t="str">
        <f>Plan_Diario!A128</f>
        <v>Wilmer</v>
      </c>
      <c r="B128" t="str">
        <f>Plan_Diario!C128</f>
        <v>Santiago</v>
      </c>
      <c r="C128">
        <f>Plan_Diario!B128</f>
        <v>22</v>
      </c>
      <c r="D128">
        <f>COUNTIFS(
Plan_Diario!$A:$A, A128,
Plan_Diario!$C:$C, B128,
Plan_Diario!$B:$B, "&gt;="&amp;C128
)</f>
        <v>3</v>
      </c>
      <c r="E128" t="str">
        <f t="shared" si="1"/>
        <v>Santiago (3 GPS)</v>
      </c>
    </row>
    <row r="129" spans="1:5" x14ac:dyDescent="0.45">
      <c r="A129" t="str">
        <f>Plan_Diario!A129</f>
        <v>Wilmer</v>
      </c>
      <c r="B129" t="str">
        <f>Plan_Diario!C129</f>
        <v>Santiago</v>
      </c>
      <c r="C129">
        <f>Plan_Diario!B129</f>
        <v>23</v>
      </c>
      <c r="D129">
        <f>COUNTIFS(
Plan_Diario!$A:$A, A129,
Plan_Diario!$C:$C, B129,
Plan_Diario!$B:$B, "&gt;="&amp;C129
)</f>
        <v>2</v>
      </c>
      <c r="E129" t="str">
        <f t="shared" si="1"/>
        <v>Santiago (2 GPS)</v>
      </c>
    </row>
    <row r="130" spans="1:5" x14ac:dyDescent="0.45">
      <c r="A130" t="str">
        <f>Plan_Diario!A130</f>
        <v>Wilmer</v>
      </c>
      <c r="B130" t="str">
        <f>Plan_Diario!C130</f>
        <v>Santiago</v>
      </c>
      <c r="C130">
        <f>Plan_Diario!B130</f>
        <v>24</v>
      </c>
      <c r="D130">
        <f>COUNTIFS(
Plan_Diario!$A:$A, A130,
Plan_Diario!$C:$C, B130,
Plan_Diario!$B:$B, "&gt;="&amp;C130
)</f>
        <v>1</v>
      </c>
      <c r="E130" t="str">
        <f t="shared" si="1"/>
        <v>Santiago (1 GPS)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B19CB-A60B-4E81-ADA6-460A3BAB6123}">
  <dimension ref="A1:B27"/>
  <sheetViews>
    <sheetView topLeftCell="A9" workbookViewId="0">
      <selection activeCell="A2" sqref="A2:A27"/>
    </sheetView>
  </sheetViews>
  <sheetFormatPr baseColWidth="10" defaultRowHeight="14.25" x14ac:dyDescent="0.45"/>
  <cols>
    <col min="1" max="1" width="13.19921875" bestFit="1" customWidth="1"/>
  </cols>
  <sheetData>
    <row r="1" spans="1:2" x14ac:dyDescent="0.45">
      <c r="A1" s="1" t="s">
        <v>91</v>
      </c>
      <c r="B1" s="1" t="s">
        <v>89</v>
      </c>
    </row>
    <row r="2" spans="1:2" x14ac:dyDescent="0.45">
      <c r="A2" t="s">
        <v>50</v>
      </c>
      <c r="B2" t="s">
        <v>51</v>
      </c>
    </row>
    <row r="3" spans="1:2" x14ac:dyDescent="0.45">
      <c r="A3" t="s">
        <v>61</v>
      </c>
      <c r="B3" t="s">
        <v>51</v>
      </c>
    </row>
    <row r="4" spans="1:2" x14ac:dyDescent="0.45">
      <c r="A4" t="s">
        <v>34</v>
      </c>
      <c r="B4" t="s">
        <v>51</v>
      </c>
    </row>
    <row r="5" spans="1:2" x14ac:dyDescent="0.45">
      <c r="A5" t="s">
        <v>57</v>
      </c>
      <c r="B5" t="s">
        <v>45</v>
      </c>
    </row>
    <row r="6" spans="1:2" x14ac:dyDescent="0.45">
      <c r="A6" t="s">
        <v>44</v>
      </c>
      <c r="B6" t="s">
        <v>45</v>
      </c>
    </row>
    <row r="7" spans="1:2" x14ac:dyDescent="0.45">
      <c r="A7" t="s">
        <v>34</v>
      </c>
      <c r="B7" t="s">
        <v>45</v>
      </c>
    </row>
    <row r="8" spans="1:2" x14ac:dyDescent="0.45">
      <c r="A8" t="s">
        <v>58</v>
      </c>
      <c r="B8" t="s">
        <v>47</v>
      </c>
    </row>
    <row r="9" spans="1:2" x14ac:dyDescent="0.45">
      <c r="A9" t="s">
        <v>70</v>
      </c>
      <c r="B9" t="s">
        <v>47</v>
      </c>
    </row>
    <row r="10" spans="1:2" x14ac:dyDescent="0.45">
      <c r="A10" t="s">
        <v>65</v>
      </c>
      <c r="B10" t="s">
        <v>47</v>
      </c>
    </row>
    <row r="11" spans="1:2" x14ac:dyDescent="0.45">
      <c r="A11" t="s">
        <v>48</v>
      </c>
      <c r="B11" t="s">
        <v>47</v>
      </c>
    </row>
    <row r="12" spans="1:2" x14ac:dyDescent="0.45">
      <c r="A12" t="s">
        <v>64</v>
      </c>
      <c r="B12" t="s">
        <v>47</v>
      </c>
    </row>
    <row r="13" spans="1:2" x14ac:dyDescent="0.45">
      <c r="A13" t="s">
        <v>66</v>
      </c>
      <c r="B13" t="s">
        <v>47</v>
      </c>
    </row>
    <row r="14" spans="1:2" x14ac:dyDescent="0.45">
      <c r="A14" t="s">
        <v>46</v>
      </c>
      <c r="B14" t="s">
        <v>47</v>
      </c>
    </row>
    <row r="15" spans="1:2" x14ac:dyDescent="0.45">
      <c r="A15" t="s">
        <v>37</v>
      </c>
      <c r="B15" t="s">
        <v>39</v>
      </c>
    </row>
    <row r="16" spans="1:2" x14ac:dyDescent="0.45">
      <c r="A16" t="s">
        <v>60</v>
      </c>
      <c r="B16" t="s">
        <v>39</v>
      </c>
    </row>
    <row r="17" spans="1:2" x14ac:dyDescent="0.45">
      <c r="A17" t="s">
        <v>56</v>
      </c>
      <c r="B17" t="s">
        <v>39</v>
      </c>
    </row>
    <row r="18" spans="1:2" x14ac:dyDescent="0.45">
      <c r="A18" t="s">
        <v>34</v>
      </c>
      <c r="B18" t="s">
        <v>39</v>
      </c>
    </row>
    <row r="19" spans="1:2" x14ac:dyDescent="0.45">
      <c r="A19" t="s">
        <v>40</v>
      </c>
      <c r="B19" t="s">
        <v>41</v>
      </c>
    </row>
    <row r="20" spans="1:2" x14ac:dyDescent="0.45">
      <c r="A20" t="s">
        <v>53</v>
      </c>
      <c r="B20" t="s">
        <v>41</v>
      </c>
    </row>
    <row r="21" spans="1:2" x14ac:dyDescent="0.45">
      <c r="A21" t="s">
        <v>52</v>
      </c>
      <c r="B21" t="s">
        <v>41</v>
      </c>
    </row>
    <row r="22" spans="1:2" x14ac:dyDescent="0.45">
      <c r="A22" t="s">
        <v>63</v>
      </c>
      <c r="B22" t="s">
        <v>43</v>
      </c>
    </row>
    <row r="23" spans="1:2" x14ac:dyDescent="0.45">
      <c r="A23" t="s">
        <v>42</v>
      </c>
      <c r="B23" t="s">
        <v>43</v>
      </c>
    </row>
    <row r="24" spans="1:2" x14ac:dyDescent="0.45">
      <c r="A24" t="s">
        <v>49</v>
      </c>
      <c r="B24" t="s">
        <v>43</v>
      </c>
    </row>
    <row r="25" spans="1:2" x14ac:dyDescent="0.45">
      <c r="A25" t="s">
        <v>67</v>
      </c>
      <c r="B25" t="s">
        <v>43</v>
      </c>
    </row>
    <row r="26" spans="1:2" x14ac:dyDescent="0.45">
      <c r="A26" t="s">
        <v>62</v>
      </c>
      <c r="B26" t="s">
        <v>43</v>
      </c>
    </row>
    <row r="27" spans="1:2" x14ac:dyDescent="0.45">
      <c r="A27" t="s">
        <v>34</v>
      </c>
      <c r="B27" t="s">
        <v>43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2"/>
  <sheetViews>
    <sheetView workbookViewId="0">
      <selection activeCell="D2" sqref="D2"/>
    </sheetView>
  </sheetViews>
  <sheetFormatPr baseColWidth="10" defaultColWidth="9.06640625" defaultRowHeight="14.25" x14ac:dyDescent="0.45"/>
  <cols>
    <col min="1" max="1" width="13.59765625" bestFit="1" customWidth="1"/>
    <col min="2" max="3" width="13.1328125" bestFit="1" customWidth="1"/>
    <col min="4" max="4" width="8.3984375" bestFit="1" customWidth="1"/>
    <col min="5" max="5" width="6.73046875" bestFit="1" customWidth="1"/>
    <col min="6" max="6" width="10.265625" bestFit="1" customWidth="1"/>
    <col min="7" max="7" width="10.19921875" bestFit="1" customWidth="1"/>
    <col min="8" max="8" width="11.73046875" bestFit="1" customWidth="1"/>
  </cols>
  <sheetData>
    <row r="1" spans="1:8" x14ac:dyDescent="0.45">
      <c r="A1" s="1" t="s">
        <v>17</v>
      </c>
      <c r="B1" s="1" t="s">
        <v>100</v>
      </c>
      <c r="C1" s="1" t="s">
        <v>101</v>
      </c>
      <c r="D1" s="1" t="s">
        <v>28</v>
      </c>
      <c r="E1" s="1" t="s">
        <v>102</v>
      </c>
      <c r="F1" s="1" t="s">
        <v>27</v>
      </c>
      <c r="G1" s="1" t="s">
        <v>103</v>
      </c>
      <c r="H1" s="1" t="s">
        <v>25</v>
      </c>
    </row>
    <row r="2" spans="1:8" x14ac:dyDescent="0.45">
      <c r="A2" t="s">
        <v>53</v>
      </c>
      <c r="B2">
        <v>0</v>
      </c>
      <c r="C2">
        <v>11</v>
      </c>
      <c r="D2">
        <v>22</v>
      </c>
      <c r="E2">
        <v>16.5</v>
      </c>
      <c r="F2">
        <v>33</v>
      </c>
      <c r="G2">
        <v>2.5</v>
      </c>
      <c r="H2">
        <v>1.2976708860759489</v>
      </c>
    </row>
    <row r="3" spans="1:8" x14ac:dyDescent="0.45">
      <c r="A3" t="s">
        <v>57</v>
      </c>
      <c r="B3">
        <v>0</v>
      </c>
      <c r="C3">
        <v>6</v>
      </c>
      <c r="D3">
        <v>12</v>
      </c>
      <c r="E3">
        <v>9</v>
      </c>
      <c r="F3">
        <v>18</v>
      </c>
      <c r="G3">
        <v>1.7</v>
      </c>
      <c r="H3">
        <v>1.6867594936708861</v>
      </c>
    </row>
    <row r="4" spans="1:8" x14ac:dyDescent="0.45">
      <c r="A4" t="s">
        <v>59</v>
      </c>
      <c r="B4">
        <v>0</v>
      </c>
      <c r="C4">
        <v>2</v>
      </c>
      <c r="D4">
        <v>4</v>
      </c>
      <c r="E4">
        <v>3</v>
      </c>
      <c r="F4">
        <v>6</v>
      </c>
      <c r="G4">
        <v>2.5</v>
      </c>
      <c r="H4">
        <v>1.5350379746835441</v>
      </c>
    </row>
    <row r="5" spans="1:8" x14ac:dyDescent="0.45">
      <c r="A5" t="s">
        <v>52</v>
      </c>
      <c r="B5">
        <v>0</v>
      </c>
      <c r="C5">
        <v>11</v>
      </c>
      <c r="D5">
        <v>22</v>
      </c>
      <c r="E5">
        <v>16.5</v>
      </c>
      <c r="F5">
        <v>33</v>
      </c>
      <c r="G5">
        <v>1.7</v>
      </c>
      <c r="H5">
        <v>0.37516455696202528</v>
      </c>
    </row>
    <row r="6" spans="1:8" x14ac:dyDescent="0.45">
      <c r="A6" t="s">
        <v>68</v>
      </c>
      <c r="B6">
        <v>2</v>
      </c>
      <c r="C6">
        <v>0</v>
      </c>
      <c r="D6">
        <v>2</v>
      </c>
      <c r="E6">
        <v>1.5</v>
      </c>
      <c r="F6">
        <v>3</v>
      </c>
      <c r="G6">
        <v>2.5</v>
      </c>
      <c r="H6">
        <v>0.41706329113924051</v>
      </c>
    </row>
    <row r="7" spans="1:8" x14ac:dyDescent="0.45">
      <c r="A7" t="s">
        <v>69</v>
      </c>
      <c r="B7">
        <v>2</v>
      </c>
      <c r="C7">
        <v>0</v>
      </c>
      <c r="D7">
        <v>2</v>
      </c>
      <c r="E7">
        <v>1.5</v>
      </c>
      <c r="F7">
        <v>3</v>
      </c>
      <c r="G7">
        <v>2</v>
      </c>
      <c r="H7">
        <v>0.35898734177215191</v>
      </c>
    </row>
    <row r="8" spans="1:8" x14ac:dyDescent="0.45">
      <c r="A8" t="s">
        <v>58</v>
      </c>
      <c r="B8">
        <v>5</v>
      </c>
      <c r="C8">
        <v>2</v>
      </c>
      <c r="D8">
        <v>9</v>
      </c>
      <c r="E8">
        <v>6.75</v>
      </c>
      <c r="F8">
        <v>13.5</v>
      </c>
      <c r="G8">
        <v>2</v>
      </c>
      <c r="H8">
        <v>0.35898734177215191</v>
      </c>
    </row>
    <row r="9" spans="1:8" x14ac:dyDescent="0.45">
      <c r="A9" t="s">
        <v>71</v>
      </c>
      <c r="B9">
        <v>2</v>
      </c>
      <c r="C9">
        <v>0</v>
      </c>
      <c r="D9">
        <v>2</v>
      </c>
      <c r="E9">
        <v>1.5</v>
      </c>
      <c r="F9">
        <v>3</v>
      </c>
      <c r="G9">
        <v>1.7</v>
      </c>
      <c r="H9">
        <v>0.37516455696202528</v>
      </c>
    </row>
    <row r="10" spans="1:8" x14ac:dyDescent="0.45">
      <c r="A10" t="s">
        <v>56</v>
      </c>
      <c r="B10">
        <v>8</v>
      </c>
      <c r="C10">
        <v>3</v>
      </c>
      <c r="D10">
        <v>14</v>
      </c>
      <c r="E10">
        <v>10.5</v>
      </c>
      <c r="F10">
        <v>21</v>
      </c>
      <c r="G10">
        <v>1.8</v>
      </c>
      <c r="H10">
        <v>0.3681518987341772</v>
      </c>
    </row>
    <row r="11" spans="1:8" x14ac:dyDescent="0.45">
      <c r="A11" t="s">
        <v>70</v>
      </c>
      <c r="B11">
        <v>0</v>
      </c>
      <c r="C11">
        <v>1</v>
      </c>
      <c r="D11">
        <v>2</v>
      </c>
      <c r="E11">
        <v>1.5</v>
      </c>
      <c r="F11">
        <v>3</v>
      </c>
      <c r="G11">
        <v>2</v>
      </c>
      <c r="H11">
        <v>0.35898734177215191</v>
      </c>
    </row>
    <row r="12" spans="1:8" x14ac:dyDescent="0.45">
      <c r="A12" t="s">
        <v>44</v>
      </c>
      <c r="B12">
        <v>2</v>
      </c>
      <c r="C12">
        <v>31</v>
      </c>
      <c r="D12">
        <v>64</v>
      </c>
      <c r="E12">
        <v>48</v>
      </c>
      <c r="F12">
        <v>96</v>
      </c>
      <c r="G12">
        <v>2.5</v>
      </c>
      <c r="H12">
        <v>1.5350379746835441</v>
      </c>
    </row>
    <row r="13" spans="1:8" x14ac:dyDescent="0.45">
      <c r="A13" t="s">
        <v>48</v>
      </c>
      <c r="B13">
        <v>3</v>
      </c>
      <c r="C13">
        <v>16</v>
      </c>
      <c r="D13">
        <v>35</v>
      </c>
      <c r="E13">
        <v>26.25</v>
      </c>
      <c r="F13">
        <v>52.5</v>
      </c>
      <c r="G13">
        <v>1.8</v>
      </c>
      <c r="H13">
        <v>0.39508860759493669</v>
      </c>
    </row>
    <row r="14" spans="1:8" x14ac:dyDescent="0.45">
      <c r="A14" t="s">
        <v>62</v>
      </c>
      <c r="B14">
        <v>4</v>
      </c>
      <c r="C14">
        <v>1</v>
      </c>
      <c r="D14">
        <v>6</v>
      </c>
      <c r="E14">
        <v>4.5</v>
      </c>
      <c r="F14">
        <v>9</v>
      </c>
      <c r="G14">
        <v>2</v>
      </c>
      <c r="H14">
        <v>0.35356962025316457</v>
      </c>
    </row>
    <row r="15" spans="1:8" x14ac:dyDescent="0.45">
      <c r="A15" t="s">
        <v>65</v>
      </c>
      <c r="B15">
        <v>3</v>
      </c>
      <c r="C15">
        <v>0</v>
      </c>
      <c r="D15">
        <v>3</v>
      </c>
      <c r="E15">
        <v>2.25</v>
      </c>
      <c r="F15">
        <v>4.5</v>
      </c>
      <c r="G15">
        <v>2</v>
      </c>
      <c r="H15">
        <v>0.35898734177215191</v>
      </c>
    </row>
    <row r="16" spans="1:8" x14ac:dyDescent="0.45">
      <c r="A16" t="s">
        <v>40</v>
      </c>
      <c r="B16">
        <v>5</v>
      </c>
      <c r="C16">
        <v>49</v>
      </c>
      <c r="D16">
        <v>103</v>
      </c>
      <c r="E16">
        <v>77.25</v>
      </c>
      <c r="F16">
        <v>154.5</v>
      </c>
      <c r="G16">
        <v>2.5</v>
      </c>
      <c r="H16">
        <v>0.35356962025316457</v>
      </c>
    </row>
    <row r="17" spans="1:8" x14ac:dyDescent="0.45">
      <c r="A17" t="s">
        <v>66</v>
      </c>
      <c r="B17">
        <v>3</v>
      </c>
      <c r="C17">
        <v>0</v>
      </c>
      <c r="D17">
        <v>3</v>
      </c>
      <c r="E17">
        <v>2.25</v>
      </c>
      <c r="F17">
        <v>4.5</v>
      </c>
      <c r="G17">
        <v>3.2</v>
      </c>
      <c r="H17">
        <v>0.39508860759493669</v>
      </c>
    </row>
    <row r="18" spans="1:8" x14ac:dyDescent="0.45">
      <c r="A18" t="s">
        <v>60</v>
      </c>
      <c r="B18">
        <v>1</v>
      </c>
      <c r="C18">
        <v>0</v>
      </c>
      <c r="D18">
        <v>1</v>
      </c>
      <c r="E18">
        <v>0.75</v>
      </c>
      <c r="F18">
        <v>1.5</v>
      </c>
      <c r="G18">
        <v>1.8</v>
      </c>
      <c r="H18">
        <v>0.39508860759493669</v>
      </c>
    </row>
    <row r="19" spans="1:8" x14ac:dyDescent="0.45">
      <c r="A19" t="s">
        <v>73</v>
      </c>
      <c r="B19">
        <v>1</v>
      </c>
      <c r="C19">
        <v>0</v>
      </c>
      <c r="D19">
        <v>1</v>
      </c>
      <c r="E19">
        <v>0.75</v>
      </c>
      <c r="F19">
        <v>1.5</v>
      </c>
      <c r="G19">
        <v>2.5</v>
      </c>
      <c r="H19">
        <v>0.39508860759493669</v>
      </c>
    </row>
    <row r="20" spans="1:8" x14ac:dyDescent="0.45">
      <c r="A20" t="s">
        <v>54</v>
      </c>
      <c r="B20">
        <v>2</v>
      </c>
      <c r="C20">
        <v>4</v>
      </c>
      <c r="D20">
        <v>10</v>
      </c>
      <c r="E20">
        <v>7.5</v>
      </c>
      <c r="F20">
        <v>15</v>
      </c>
      <c r="G20">
        <v>3</v>
      </c>
      <c r="H20">
        <v>1.6867594936708861</v>
      </c>
    </row>
    <row r="21" spans="1:8" x14ac:dyDescent="0.45">
      <c r="A21" t="s">
        <v>46</v>
      </c>
      <c r="B21">
        <v>3</v>
      </c>
      <c r="C21">
        <v>29</v>
      </c>
      <c r="D21">
        <v>61</v>
      </c>
      <c r="E21">
        <v>45.75</v>
      </c>
      <c r="F21">
        <v>91.5</v>
      </c>
      <c r="G21">
        <v>2.5</v>
      </c>
      <c r="H21">
        <v>0.41706329113924051</v>
      </c>
    </row>
    <row r="22" spans="1:8" x14ac:dyDescent="0.45">
      <c r="A22" t="s">
        <v>61</v>
      </c>
      <c r="B22">
        <v>3</v>
      </c>
      <c r="C22">
        <v>0</v>
      </c>
      <c r="D22">
        <v>3</v>
      </c>
      <c r="E22">
        <v>2.25</v>
      </c>
      <c r="F22">
        <v>4.5</v>
      </c>
      <c r="G22">
        <v>3</v>
      </c>
      <c r="H22">
        <v>1.6867594936708861</v>
      </c>
    </row>
    <row r="23" spans="1:8" x14ac:dyDescent="0.45">
      <c r="A23" t="s">
        <v>72</v>
      </c>
      <c r="B23">
        <v>1</v>
      </c>
      <c r="C23">
        <v>0</v>
      </c>
      <c r="D23">
        <v>1</v>
      </c>
      <c r="E23">
        <v>0.75</v>
      </c>
      <c r="F23">
        <v>1.5</v>
      </c>
      <c r="G23">
        <v>3</v>
      </c>
      <c r="H23">
        <v>1.6867594936708861</v>
      </c>
    </row>
    <row r="24" spans="1:8" x14ac:dyDescent="0.45">
      <c r="A24" t="s">
        <v>50</v>
      </c>
      <c r="B24">
        <v>4</v>
      </c>
      <c r="C24">
        <v>12</v>
      </c>
      <c r="D24">
        <v>28</v>
      </c>
      <c r="E24">
        <v>21</v>
      </c>
      <c r="F24">
        <v>42</v>
      </c>
      <c r="G24">
        <v>3</v>
      </c>
      <c r="H24">
        <v>1.6867594936708861</v>
      </c>
    </row>
    <row r="25" spans="1:8" x14ac:dyDescent="0.45">
      <c r="A25" t="s">
        <v>74</v>
      </c>
      <c r="B25">
        <v>1</v>
      </c>
      <c r="C25">
        <v>0</v>
      </c>
      <c r="D25">
        <v>1</v>
      </c>
      <c r="E25">
        <v>0.75</v>
      </c>
      <c r="F25">
        <v>1.5</v>
      </c>
      <c r="G25">
        <v>2</v>
      </c>
      <c r="H25">
        <v>0.3468101265822785</v>
      </c>
    </row>
    <row r="26" spans="1:8" x14ac:dyDescent="0.45">
      <c r="A26" t="s">
        <v>63</v>
      </c>
      <c r="B26">
        <v>2</v>
      </c>
      <c r="C26">
        <v>1</v>
      </c>
      <c r="D26">
        <v>4</v>
      </c>
      <c r="E26">
        <v>3</v>
      </c>
      <c r="F26">
        <v>6</v>
      </c>
      <c r="G26">
        <v>3</v>
      </c>
      <c r="H26">
        <v>0.3468101265822785</v>
      </c>
    </row>
    <row r="27" spans="1:8" x14ac:dyDescent="0.45">
      <c r="A27" t="s">
        <v>49</v>
      </c>
      <c r="B27">
        <v>1</v>
      </c>
      <c r="C27">
        <v>17</v>
      </c>
      <c r="D27">
        <v>35</v>
      </c>
      <c r="E27">
        <v>26.25</v>
      </c>
      <c r="F27">
        <v>52.5</v>
      </c>
      <c r="G27">
        <v>2</v>
      </c>
      <c r="H27">
        <v>0.3468101265822785</v>
      </c>
    </row>
    <row r="28" spans="1:8" x14ac:dyDescent="0.45">
      <c r="A28" t="s">
        <v>42</v>
      </c>
      <c r="B28">
        <v>5</v>
      </c>
      <c r="C28">
        <v>33</v>
      </c>
      <c r="D28">
        <v>71</v>
      </c>
      <c r="E28">
        <v>53.25</v>
      </c>
      <c r="F28">
        <v>106.5</v>
      </c>
      <c r="G28">
        <v>2</v>
      </c>
      <c r="H28">
        <v>0.3468101265822785</v>
      </c>
    </row>
    <row r="29" spans="1:8" x14ac:dyDescent="0.45">
      <c r="A29" t="s">
        <v>34</v>
      </c>
      <c r="B29">
        <v>11</v>
      </c>
      <c r="C29">
        <v>90</v>
      </c>
      <c r="D29">
        <v>191</v>
      </c>
      <c r="E29">
        <v>143.25</v>
      </c>
      <c r="F29">
        <v>286.5</v>
      </c>
      <c r="G29">
        <v>3</v>
      </c>
      <c r="H29">
        <v>0</v>
      </c>
    </row>
    <row r="30" spans="1:8" x14ac:dyDescent="0.45">
      <c r="A30" t="s">
        <v>67</v>
      </c>
      <c r="B30">
        <v>0</v>
      </c>
      <c r="C30">
        <v>1</v>
      </c>
      <c r="D30">
        <v>2</v>
      </c>
      <c r="E30">
        <v>1.5</v>
      </c>
      <c r="F30">
        <v>3</v>
      </c>
      <c r="G30">
        <v>2</v>
      </c>
      <c r="H30">
        <v>0.35356962025316457</v>
      </c>
    </row>
    <row r="31" spans="1:8" x14ac:dyDescent="0.45">
      <c r="A31" t="s">
        <v>64</v>
      </c>
      <c r="B31">
        <v>0</v>
      </c>
      <c r="C31">
        <v>1</v>
      </c>
      <c r="D31">
        <v>2</v>
      </c>
      <c r="E31">
        <v>1.5</v>
      </c>
      <c r="F31">
        <v>3</v>
      </c>
      <c r="G31">
        <v>2.5</v>
      </c>
      <c r="H31">
        <v>0.39508860759493669</v>
      </c>
    </row>
    <row r="32" spans="1:8" x14ac:dyDescent="0.45">
      <c r="A32" t="s">
        <v>37</v>
      </c>
      <c r="B32">
        <v>10</v>
      </c>
      <c r="C32">
        <v>58</v>
      </c>
      <c r="D32">
        <v>126</v>
      </c>
      <c r="E32">
        <v>94.5</v>
      </c>
      <c r="F32">
        <v>189</v>
      </c>
      <c r="G32">
        <v>3</v>
      </c>
      <c r="H32">
        <v>0.3468101265822785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2"/>
  <sheetViews>
    <sheetView workbookViewId="0"/>
  </sheetViews>
  <sheetFormatPr baseColWidth="10" defaultColWidth="9.06640625" defaultRowHeight="14.25" x14ac:dyDescent="0.45"/>
  <sheetData>
    <row r="1" spans="1:2" x14ac:dyDescent="0.45">
      <c r="A1" s="1" t="s">
        <v>104</v>
      </c>
      <c r="B1" s="1" t="s">
        <v>105</v>
      </c>
    </row>
    <row r="2" spans="1:2" x14ac:dyDescent="0.45">
      <c r="A2" t="s">
        <v>106</v>
      </c>
      <c r="B2">
        <v>39500</v>
      </c>
    </row>
    <row r="3" spans="1:2" x14ac:dyDescent="0.45">
      <c r="A3" t="s">
        <v>107</v>
      </c>
      <c r="B3">
        <v>0.03</v>
      </c>
    </row>
    <row r="4" spans="1:2" x14ac:dyDescent="0.45">
      <c r="A4" t="s">
        <v>108</v>
      </c>
      <c r="B4">
        <v>1.1000000000000001</v>
      </c>
    </row>
    <row r="5" spans="1:2" x14ac:dyDescent="0.45">
      <c r="A5" t="s">
        <v>109</v>
      </c>
      <c r="B5">
        <v>0.5</v>
      </c>
    </row>
    <row r="6" spans="1:2" x14ac:dyDescent="0.45">
      <c r="A6" t="s">
        <v>110</v>
      </c>
      <c r="B6">
        <v>0.12</v>
      </c>
    </row>
    <row r="7" spans="1:2" x14ac:dyDescent="0.45">
      <c r="A7" t="s">
        <v>111</v>
      </c>
      <c r="B7">
        <v>0.1</v>
      </c>
    </row>
    <row r="8" spans="1:2" x14ac:dyDescent="0.45">
      <c r="A8" t="s">
        <v>112</v>
      </c>
      <c r="B8">
        <v>7</v>
      </c>
    </row>
    <row r="9" spans="1:2" x14ac:dyDescent="0.45">
      <c r="A9" t="s">
        <v>113</v>
      </c>
      <c r="B9">
        <v>0.75</v>
      </c>
    </row>
    <row r="10" spans="1:2" x14ac:dyDescent="0.45">
      <c r="A10" t="s">
        <v>114</v>
      </c>
      <c r="B10">
        <v>6</v>
      </c>
    </row>
    <row r="11" spans="1:2" x14ac:dyDescent="0.45">
      <c r="A11" t="s">
        <v>115</v>
      </c>
      <c r="B11">
        <v>4</v>
      </c>
    </row>
    <row r="12" spans="1:2" x14ac:dyDescent="0.45">
      <c r="A12" t="s">
        <v>116</v>
      </c>
      <c r="B12">
        <v>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Resumen_Total</vt:lpstr>
      <vt:lpstr>Costos_por_Ciudad</vt:lpstr>
      <vt:lpstr>Costos_por_Tecnico</vt:lpstr>
      <vt:lpstr>Plan_Diario</vt:lpstr>
      <vt:lpstr>base_gantt</vt:lpstr>
      <vt:lpstr>Hoja1</vt:lpstr>
      <vt:lpstr>Demanda_y_Materiales</vt:lpstr>
      <vt:lpstr>Parametros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christian zambrano vallejos</cp:lastModifiedBy>
  <dcterms:created xsi:type="dcterms:W3CDTF">2025-12-22T02:51:45Z</dcterms:created>
  <dcterms:modified xsi:type="dcterms:W3CDTF">2025-12-22T14:56:02Z</dcterms:modified>
</cp:coreProperties>
</file>