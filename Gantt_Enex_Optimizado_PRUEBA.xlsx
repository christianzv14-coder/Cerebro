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"/>
    </mc:Choice>
  </mc:AlternateContent>
  <xr:revisionPtr revIDLastSave="0" documentId="8_{79FC9E78-B25F-41EE-95E3-C7422D5B1ED3}" xr6:coauthVersionLast="47" xr6:coauthVersionMax="47" xr10:uidLastSave="{00000000-0000-0000-0000-000000000000}"/>
  <bookViews>
    <workbookView xWindow="-19310" yWindow="2500" windowWidth="19420" windowHeight="10300" xr2:uid="{397AC975-4A28-4758-8E5D-3036C0F36EDE}"/>
  </bookViews>
  <sheets>
    <sheet name="Gantt L-V" sheetId="1" r:id="rId1"/>
  </sheets>
  <externalReferences>
    <externalReference r:id="rId2"/>
  </externalReferences>
  <definedNames>
    <definedName name="_xlnm._FilterDatabase" localSheetId="0" hidden="1">'Gantt L-V'!$E$7:$AM$42</definedName>
    <definedName name="_xlnm.Print_Area" localSheetId="0">'Gantt L-V'!$E$4:$AM$42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7" i="1" l="1"/>
  <c r="F27" i="1"/>
  <c r="AM9" i="1"/>
  <c r="AN9" i="1" s="1"/>
  <c r="AM10" i="1"/>
  <c r="AN10" i="1" s="1"/>
  <c r="AM11" i="1"/>
  <c r="AM12" i="1"/>
  <c r="AM13" i="1"/>
  <c r="AN13" i="1" s="1"/>
  <c r="AM14" i="1"/>
  <c r="AM15" i="1"/>
  <c r="AM16" i="1"/>
  <c r="AM17" i="1"/>
  <c r="AM18" i="1"/>
  <c r="AM19" i="1"/>
  <c r="AM20" i="1"/>
  <c r="AM21" i="1"/>
  <c r="AM22" i="1"/>
  <c r="AM23" i="1"/>
  <c r="AM24" i="1"/>
  <c r="AN24" i="1" s="1"/>
  <c r="AM25" i="1"/>
  <c r="AM26" i="1"/>
  <c r="AM28" i="1"/>
  <c r="AM29" i="1"/>
  <c r="AM30" i="1"/>
  <c r="AM31" i="1"/>
  <c r="AM32" i="1"/>
  <c r="AM33" i="1"/>
  <c r="AM34" i="1"/>
  <c r="AN34" i="1" s="1"/>
  <c r="AM35" i="1"/>
  <c r="AM36" i="1"/>
  <c r="AM37" i="1"/>
  <c r="AM38" i="1"/>
  <c r="AM39" i="1"/>
  <c r="AM40" i="1"/>
  <c r="AM41" i="1"/>
  <c r="AM8" i="1"/>
  <c r="F38" i="1"/>
  <c r="F39" i="1"/>
  <c r="F40" i="1"/>
  <c r="F41" i="1"/>
  <c r="F8" i="1"/>
  <c r="F19" i="1"/>
  <c r="F20" i="1"/>
  <c r="F21" i="1"/>
  <c r="F22" i="1"/>
  <c r="F23" i="1"/>
  <c r="F28" i="1"/>
  <c r="F25" i="1"/>
  <c r="F26" i="1"/>
  <c r="F31" i="1"/>
  <c r="F30" i="1"/>
  <c r="F29" i="1"/>
  <c r="F32" i="1"/>
  <c r="F33" i="1"/>
  <c r="F37" i="1"/>
  <c r="AN37" i="1" s="1"/>
  <c r="F36" i="1"/>
  <c r="F35" i="1"/>
  <c r="F11" i="1"/>
  <c r="F12" i="1"/>
  <c r="F14" i="1"/>
  <c r="F15" i="1"/>
  <c r="F16" i="1"/>
  <c r="F17" i="1"/>
  <c r="F18" i="1"/>
  <c r="F9" i="1"/>
  <c r="AN41" i="1" l="1"/>
  <c r="AN25" i="1"/>
  <c r="AN27" i="1"/>
  <c r="AN17" i="1"/>
  <c r="AN40" i="1"/>
  <c r="AN39" i="1"/>
  <c r="AN33" i="1"/>
  <c r="AN16" i="1"/>
  <c r="AN23" i="1"/>
  <c r="AN12" i="1"/>
  <c r="AN11" i="1"/>
  <c r="AN32" i="1"/>
  <c r="AN15" i="1"/>
  <c r="AN35" i="1"/>
  <c r="AN8" i="1"/>
  <c r="AN22" i="1"/>
  <c r="AN14" i="1"/>
  <c r="AN38" i="1"/>
  <c r="AN21" i="1"/>
  <c r="AN29" i="1"/>
  <c r="AN36" i="1"/>
  <c r="AN31" i="1"/>
  <c r="AN30" i="1"/>
  <c r="AN20" i="1"/>
  <c r="AN28" i="1"/>
  <c r="AN26" i="1"/>
  <c r="AN18" i="1"/>
  <c r="AN19" i="1"/>
  <c r="AL42" i="1" l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F42" i="1" l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AM42" i="1" l="1"/>
</calcChain>
</file>

<file path=xl/sharedStrings.xml><?xml version="1.0" encoding="utf-8"?>
<sst xmlns="http://schemas.openxmlformats.org/spreadsheetml/2006/main" count="75" uniqueCount="49">
  <si>
    <t>Dia semana</t>
  </si>
  <si>
    <t>Fecha</t>
  </si>
  <si>
    <t>TOTAL</t>
  </si>
  <si>
    <t>Santiago</t>
  </si>
  <si>
    <t>Fabian D.</t>
  </si>
  <si>
    <t>Wilmer</t>
  </si>
  <si>
    <t>Luis</t>
  </si>
  <si>
    <t>San Antonio</t>
  </si>
  <si>
    <t>San Fernando</t>
  </si>
  <si>
    <t>Talca</t>
  </si>
  <si>
    <t>Antofagasta</t>
  </si>
  <si>
    <t>Calama</t>
  </si>
  <si>
    <t>Iquique</t>
  </si>
  <si>
    <t>Arica</t>
  </si>
  <si>
    <t>Puerto Montt</t>
  </si>
  <si>
    <t>Osorno</t>
  </si>
  <si>
    <t>Punta Arenas</t>
  </si>
  <si>
    <t>ciudad</t>
  </si>
  <si>
    <t>tecnico</t>
  </si>
  <si>
    <t>Puerto Natales</t>
  </si>
  <si>
    <t>Concepción</t>
  </si>
  <si>
    <t>Coronel</t>
  </si>
  <si>
    <t>Los Ángeles</t>
  </si>
  <si>
    <t>Lautaro</t>
  </si>
  <si>
    <t>Valdivia</t>
  </si>
  <si>
    <t>Valparaiso</t>
  </si>
  <si>
    <t>Ovalle</t>
  </si>
  <si>
    <t>Coquimbo</t>
  </si>
  <si>
    <t>Mejillones</t>
  </si>
  <si>
    <t>Caldera</t>
  </si>
  <si>
    <t>San Vicente</t>
  </si>
  <si>
    <t>Linares</t>
  </si>
  <si>
    <t>Puerto Aysen</t>
  </si>
  <si>
    <t>Castro</t>
  </si>
  <si>
    <t>Chillán</t>
  </si>
  <si>
    <t>Copiapó</t>
  </si>
  <si>
    <t>Puerto Williams</t>
  </si>
  <si>
    <t>Pichirropulli</t>
  </si>
  <si>
    <t>Romeral</t>
  </si>
  <si>
    <t>Externo 1</t>
  </si>
  <si>
    <t>Externo 3</t>
  </si>
  <si>
    <t>Externo 4</t>
  </si>
  <si>
    <t>Externo 5</t>
  </si>
  <si>
    <t>Externo 6</t>
  </si>
  <si>
    <t>Externo 7</t>
  </si>
  <si>
    <t>Externo 8</t>
  </si>
  <si>
    <t>Efrain</t>
  </si>
  <si>
    <t>Jimmy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</si>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</sst>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textRotation="90"/>
    </xf>
    <xf numFmtId="0" fontId="2" fillId="0" borderId="1" xfId="0" applyFont="1" applyBorder="1" applyAlignment="1">
      <alignment horizontal="center" textRotation="90"/>
    </xf>
    <xf numFmtId="0" fontId="2" fillId="0" borderId="2" xfId="0" applyFont="1" applyBorder="1" applyAlignment="1">
      <alignment horizontal="center" textRotation="90"/>
    </xf>
    <xf numFmtId="0" fontId="2" fillId="0" borderId="3" xfId="0" applyFont="1" applyBorder="1" applyAlignment="1">
      <alignment horizontal="center" textRotation="90"/>
    </xf>
    <xf numFmtId="0" fontId="0" fillId="3" borderId="0" xfId="0" applyFill="1" applyAlignment="1">
      <alignment horizontal="center" textRotation="90"/>
    </xf>
    <xf numFmtId="0" fontId="2" fillId="0" borderId="5" xfId="0" applyFont="1" applyBorder="1" applyAlignment="1">
      <alignment horizontal="center" textRotation="90"/>
    </xf>
    <xf numFmtId="0" fontId="2" fillId="0" borderId="6" xfId="0" applyFont="1" applyBorder="1" applyAlignment="1">
      <alignment horizontal="center" textRotation="90"/>
    </xf>
    <xf numFmtId="16" fontId="2" fillId="0" borderId="7" xfId="0" applyNumberFormat="1" applyFont="1" applyBorder="1" applyAlignment="1">
      <alignment horizontal="center" textRotation="90"/>
    </xf>
    <xf numFmtId="0" fontId="0" fillId="3" borderId="0" xfId="0" applyFill="1" applyAlignment="1">
      <alignment horizontal="center"/>
    </xf>
    <xf numFmtId="16" fontId="0" fillId="0" borderId="0" xfId="0" applyNumberFormat="1"/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1" fillId="5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textRotation="90"/>
    </xf>
    <xf numFmtId="0" fontId="2" fillId="3" borderId="4" xfId="0" applyFont="1" applyFill="1" applyBorder="1" applyAlignment="1">
      <alignment horizontal="center" textRotation="90"/>
    </xf>
    <xf numFmtId="0" fontId="2" fillId="6" borderId="3" xfId="0" applyFont="1" applyFill="1" applyBorder="1" applyAlignment="1">
      <alignment horizontal="center" textRotation="90"/>
    </xf>
    <xf numFmtId="1" fontId="0" fillId="0" borderId="0" xfId="0" applyNumberFormat="1"/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d171dda8de17894/Desktop/cerebro-patio/Cerebro/resultado_optimizacion_gps_v6.xlsx" TargetMode="External"/><Relationship Id="rId1" Type="http://schemas.openxmlformats.org/officeDocument/2006/relationships/externalLinkPath" Target="resultado_optimizacion_gps_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_Total"/>
      <sheetName val="Costos_por_Ciudad"/>
      <sheetName val="Costos_por_Tecnico"/>
      <sheetName val="Plan_Diario"/>
      <sheetName val="base_gantt"/>
      <sheetName val="Hoja1"/>
      <sheetName val="Demanda_y_Materiales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">
          <cell r="A1" t="str">
            <v>ciudad</v>
          </cell>
          <cell r="B1" t="str">
            <v>vehiculos_1gps</v>
          </cell>
          <cell r="C1" t="str">
            <v>vehiculos_2gps</v>
          </cell>
          <cell r="D1" t="str">
            <v>gps_total</v>
          </cell>
        </row>
        <row r="2">
          <cell r="A2" t="str">
            <v>Antofagasta</v>
          </cell>
          <cell r="B2">
            <v>0</v>
          </cell>
          <cell r="C2">
            <v>11</v>
          </cell>
          <cell r="D2">
            <v>22</v>
          </cell>
        </row>
        <row r="3">
          <cell r="A3" t="str">
            <v>Arica</v>
          </cell>
          <cell r="B3">
            <v>0</v>
          </cell>
          <cell r="C3">
            <v>6</v>
          </cell>
          <cell r="D3">
            <v>12</v>
          </cell>
        </row>
        <row r="4">
          <cell r="A4" t="str">
            <v>Calama</v>
          </cell>
          <cell r="B4">
            <v>0</v>
          </cell>
          <cell r="C4">
            <v>2</v>
          </cell>
          <cell r="D4">
            <v>4</v>
          </cell>
        </row>
        <row r="5">
          <cell r="A5" t="str">
            <v>Caldera</v>
          </cell>
          <cell r="B5">
            <v>0</v>
          </cell>
          <cell r="C5">
            <v>11</v>
          </cell>
          <cell r="D5">
            <v>22</v>
          </cell>
        </row>
        <row r="6">
          <cell r="A6" t="str">
            <v>Castro</v>
          </cell>
          <cell r="B6">
            <v>2</v>
          </cell>
          <cell r="C6">
            <v>0</v>
          </cell>
          <cell r="D6">
            <v>2</v>
          </cell>
        </row>
        <row r="7">
          <cell r="A7" t="str">
            <v>Chillán</v>
          </cell>
          <cell r="B7">
            <v>2</v>
          </cell>
          <cell r="C7">
            <v>0</v>
          </cell>
          <cell r="D7">
            <v>2</v>
          </cell>
        </row>
        <row r="8">
          <cell r="A8" t="str">
            <v>Concepción</v>
          </cell>
          <cell r="B8">
            <v>5</v>
          </cell>
          <cell r="C8">
            <v>2</v>
          </cell>
          <cell r="D8">
            <v>9</v>
          </cell>
        </row>
        <row r="9">
          <cell r="A9" t="str">
            <v>Copiapó</v>
          </cell>
          <cell r="B9">
            <v>2</v>
          </cell>
          <cell r="C9">
            <v>0</v>
          </cell>
          <cell r="D9">
            <v>2</v>
          </cell>
        </row>
        <row r="10">
          <cell r="A10" t="str">
            <v>Coquimbo</v>
          </cell>
          <cell r="B10">
            <v>8</v>
          </cell>
          <cell r="C10">
            <v>3</v>
          </cell>
          <cell r="D10">
            <v>14</v>
          </cell>
        </row>
        <row r="11">
          <cell r="A11" t="str">
            <v>Coronel</v>
          </cell>
          <cell r="B11">
            <v>0</v>
          </cell>
          <cell r="C11">
            <v>1</v>
          </cell>
          <cell r="D11">
            <v>2</v>
          </cell>
        </row>
        <row r="12">
          <cell r="A12" t="str">
            <v>Iquique</v>
          </cell>
          <cell r="B12">
            <v>2</v>
          </cell>
          <cell r="C12">
            <v>31</v>
          </cell>
          <cell r="D12">
            <v>64</v>
          </cell>
        </row>
        <row r="13">
          <cell r="A13" t="str">
            <v>Lautaro</v>
          </cell>
          <cell r="B13">
            <v>3</v>
          </cell>
          <cell r="C13">
            <v>16</v>
          </cell>
          <cell r="D13">
            <v>35</v>
          </cell>
        </row>
        <row r="14">
          <cell r="A14" t="str">
            <v>Linares</v>
          </cell>
          <cell r="B14">
            <v>4</v>
          </cell>
          <cell r="C14">
            <v>1</v>
          </cell>
          <cell r="D14">
            <v>6</v>
          </cell>
        </row>
        <row r="15">
          <cell r="A15" t="str">
            <v>Los Ángeles</v>
          </cell>
          <cell r="B15">
            <v>3</v>
          </cell>
          <cell r="C15">
            <v>0</v>
          </cell>
          <cell r="D15">
            <v>3</v>
          </cell>
        </row>
        <row r="16">
          <cell r="A16" t="str">
            <v>Mejillones</v>
          </cell>
          <cell r="B16">
            <v>5</v>
          </cell>
          <cell r="C16">
            <v>49</v>
          </cell>
          <cell r="D16">
            <v>103</v>
          </cell>
        </row>
        <row r="17">
          <cell r="A17" t="str">
            <v>Osorno</v>
          </cell>
          <cell r="B17">
            <v>3</v>
          </cell>
          <cell r="C17">
            <v>0</v>
          </cell>
          <cell r="D17">
            <v>3</v>
          </cell>
        </row>
        <row r="18">
          <cell r="A18" t="str">
            <v>Ovalle</v>
          </cell>
          <cell r="B18">
            <v>1</v>
          </cell>
          <cell r="C18">
            <v>0</v>
          </cell>
          <cell r="D18">
            <v>1</v>
          </cell>
        </row>
        <row r="19">
          <cell r="A19" t="str">
            <v>Pichirropulli</v>
          </cell>
          <cell r="B19">
            <v>1</v>
          </cell>
          <cell r="C19">
            <v>0</v>
          </cell>
          <cell r="D19">
            <v>1</v>
          </cell>
        </row>
        <row r="20">
          <cell r="A20" t="str">
            <v>Puerto Aysen</v>
          </cell>
          <cell r="B20">
            <v>2</v>
          </cell>
          <cell r="C20">
            <v>4</v>
          </cell>
          <cell r="D20">
            <v>10</v>
          </cell>
        </row>
        <row r="21">
          <cell r="A21" t="str">
            <v>Puerto Montt</v>
          </cell>
          <cell r="B21">
            <v>3</v>
          </cell>
          <cell r="C21">
            <v>29</v>
          </cell>
          <cell r="D21">
            <v>61</v>
          </cell>
        </row>
        <row r="22">
          <cell r="A22" t="str">
            <v>Puerto Natales</v>
          </cell>
          <cell r="B22">
            <v>3</v>
          </cell>
          <cell r="C22">
            <v>0</v>
          </cell>
          <cell r="D22">
            <v>3</v>
          </cell>
        </row>
        <row r="23">
          <cell r="A23" t="str">
            <v>Puerto Williams</v>
          </cell>
          <cell r="B23">
            <v>1</v>
          </cell>
          <cell r="C23">
            <v>0</v>
          </cell>
          <cell r="D23">
            <v>1</v>
          </cell>
        </row>
        <row r="24">
          <cell r="A24" t="str">
            <v>Punta Arenas</v>
          </cell>
          <cell r="B24">
            <v>4</v>
          </cell>
          <cell r="C24">
            <v>12</v>
          </cell>
          <cell r="D24">
            <v>28</v>
          </cell>
        </row>
        <row r="25">
          <cell r="A25" t="str">
            <v>Romeral</v>
          </cell>
          <cell r="B25">
            <v>1</v>
          </cell>
          <cell r="C25">
            <v>0</v>
          </cell>
          <cell r="D25">
            <v>1</v>
          </cell>
        </row>
        <row r="26">
          <cell r="A26" t="str">
            <v>San Antonio</v>
          </cell>
          <cell r="B26">
            <v>2</v>
          </cell>
          <cell r="C26">
            <v>1</v>
          </cell>
          <cell r="D26">
            <v>4</v>
          </cell>
        </row>
        <row r="27">
          <cell r="A27" t="str">
            <v>San Fernando</v>
          </cell>
          <cell r="B27">
            <v>1</v>
          </cell>
          <cell r="C27">
            <v>17</v>
          </cell>
          <cell r="D27">
            <v>35</v>
          </cell>
        </row>
        <row r="28">
          <cell r="A28" t="str">
            <v>San Vicente</v>
          </cell>
          <cell r="B28">
            <v>5</v>
          </cell>
          <cell r="C28">
            <v>33</v>
          </cell>
          <cell r="D28">
            <v>71</v>
          </cell>
        </row>
        <row r="29">
          <cell r="A29" t="str">
            <v>Santiago</v>
          </cell>
          <cell r="B29">
            <v>11</v>
          </cell>
          <cell r="C29">
            <v>90</v>
          </cell>
          <cell r="D29">
            <v>191</v>
          </cell>
        </row>
        <row r="30">
          <cell r="A30" t="str">
            <v>Talca</v>
          </cell>
          <cell r="B30">
            <v>0</v>
          </cell>
          <cell r="C30">
            <v>1</v>
          </cell>
          <cell r="D30">
            <v>2</v>
          </cell>
        </row>
        <row r="31">
          <cell r="A31" t="str">
            <v>Valdivia</v>
          </cell>
          <cell r="B31">
            <v>0</v>
          </cell>
          <cell r="C31">
            <v>1</v>
          </cell>
          <cell r="D31">
            <v>2</v>
          </cell>
        </row>
        <row r="32">
          <cell r="A32" t="str">
            <v>Valparaiso</v>
          </cell>
          <cell r="B32">
            <v>10</v>
          </cell>
          <cell r="C32">
            <v>58</v>
          </cell>
          <cell r="D32">
            <v>126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741A-6980-4627-8019-D1A268A622D3}">
  <sheetPr filterMode="1">
    <pageSetUpPr fitToPage="1"/>
  </sheetPr>
  <dimension ref="D3:AN42"/>
  <sheetViews>
    <sheetView showGridLines="0" tabSelected="1" topLeftCell="A4" zoomScale="70" zoomScaleNormal="70" workbookViewId="0">
      <selection activeCell="D33" sqref="D33"/>
    </sheetView>
  </sheetViews>
  <sheetFormatPr baseColWidth="10" defaultRowHeight="14.25" x14ac:dyDescent="0.45"/>
  <cols>
    <col min="1" max="1" width="6.59765625" customWidth="1"/>
    <col min="2" max="2" width="2.59765625" customWidth="1"/>
    <col min="3" max="3" width="7.59765625" customWidth="1"/>
    <col min="4" max="4" width="7.3984375" customWidth="1"/>
    <col min="5" max="5" width="19" bestFit="1" customWidth="1"/>
    <col min="6" max="6" width="7.59765625" customWidth="1"/>
    <col min="7" max="7" width="13.33203125" bestFit="1" customWidth="1"/>
    <col min="8" max="8" width="4" bestFit="1" customWidth="1"/>
    <col min="9" max="23" width="3.1328125" customWidth="1"/>
    <col min="24" max="24" width="4.3984375" customWidth="1"/>
    <col min="25" max="30" width="3.1328125" customWidth="1"/>
    <col min="31" max="31" width="5" customWidth="1"/>
    <col min="32" max="38" width="3.1328125" customWidth="1"/>
    <col min="39" max="39" width="6.59765625" bestFit="1" customWidth="1"/>
  </cols>
  <sheetData>
    <row r="3" spans="4:40" ht="14.65" thickBot="1" x14ac:dyDescent="0.5"/>
    <row r="4" spans="4:40" s="1" customFormat="1" ht="53.25" customHeight="1" x14ac:dyDescent="0.45">
      <c r="E4" s="2" t="s">
        <v>0</v>
      </c>
      <c r="F4" s="3"/>
      <c r="G4" s="3"/>
      <c r="H4" s="4" t="str">
        <f t="shared" ref="H4:AL4" si="0">TEXT(H5,"dddd")</f>
        <v>lunes</v>
      </c>
      <c r="I4" s="4" t="str">
        <f t="shared" si="0"/>
        <v>martes</v>
      </c>
      <c r="J4" s="23" t="str">
        <f t="shared" si="0"/>
        <v>miércoles</v>
      </c>
      <c r="K4" s="23" t="str">
        <f t="shared" si="0"/>
        <v>jueves</v>
      </c>
      <c r="L4" s="23" t="str">
        <f t="shared" si="0"/>
        <v>viernes</v>
      </c>
      <c r="M4" s="25" t="str">
        <f t="shared" si="0"/>
        <v>sábado</v>
      </c>
      <c r="N4" s="25" t="str">
        <f t="shared" si="0"/>
        <v>domingo</v>
      </c>
      <c r="O4" s="23" t="str">
        <f t="shared" si="0"/>
        <v>lunes</v>
      </c>
      <c r="P4" s="23" t="str">
        <f t="shared" si="0"/>
        <v>martes</v>
      </c>
      <c r="Q4" s="23" t="str">
        <f t="shared" si="0"/>
        <v>miércoles</v>
      </c>
      <c r="R4" s="23" t="str">
        <f t="shared" si="0"/>
        <v>jueves</v>
      </c>
      <c r="S4" s="23" t="str">
        <f t="shared" si="0"/>
        <v>viernes</v>
      </c>
      <c r="T4" s="25" t="str">
        <f t="shared" si="0"/>
        <v>sábado</v>
      </c>
      <c r="U4" s="25" t="str">
        <f t="shared" si="0"/>
        <v>domingo</v>
      </c>
      <c r="V4" s="23" t="str">
        <f t="shared" si="0"/>
        <v>lunes</v>
      </c>
      <c r="W4" s="23" t="str">
        <f t="shared" si="0"/>
        <v>martes</v>
      </c>
      <c r="X4" s="23" t="str">
        <f t="shared" si="0"/>
        <v>miércoles</v>
      </c>
      <c r="Y4" s="23" t="str">
        <f t="shared" si="0"/>
        <v>jueves</v>
      </c>
      <c r="Z4" s="23" t="str">
        <f t="shared" si="0"/>
        <v>viernes</v>
      </c>
      <c r="AA4" s="25" t="str">
        <f t="shared" si="0"/>
        <v>sábado</v>
      </c>
      <c r="AB4" s="25" t="str">
        <f t="shared" si="0"/>
        <v>domingo</v>
      </c>
      <c r="AC4" s="23" t="str">
        <f t="shared" si="0"/>
        <v>lunes</v>
      </c>
      <c r="AD4" s="23" t="str">
        <f t="shared" si="0"/>
        <v>martes</v>
      </c>
      <c r="AE4" s="23" t="str">
        <f t="shared" si="0"/>
        <v>miércoles</v>
      </c>
      <c r="AF4" s="23" t="str">
        <f t="shared" si="0"/>
        <v>jueves</v>
      </c>
      <c r="AG4" s="23" t="str">
        <f t="shared" si="0"/>
        <v>viernes</v>
      </c>
      <c r="AH4" s="25" t="str">
        <f t="shared" si="0"/>
        <v>sábado</v>
      </c>
      <c r="AI4" s="25" t="str">
        <f t="shared" si="0"/>
        <v>domingo</v>
      </c>
      <c r="AJ4" s="23" t="str">
        <f t="shared" si="0"/>
        <v>lunes</v>
      </c>
      <c r="AK4" s="23" t="str">
        <f t="shared" si="0"/>
        <v>martes</v>
      </c>
      <c r="AL4" s="24" t="str">
        <f t="shared" si="0"/>
        <v>miércoles</v>
      </c>
      <c r="AM4" s="5"/>
    </row>
    <row r="5" spans="4:40" s="1" customFormat="1" ht="36.75" customHeight="1" x14ac:dyDescent="0.45">
      <c r="E5" s="6" t="s">
        <v>1</v>
      </c>
      <c r="F5" s="7"/>
      <c r="G5" s="7"/>
      <c r="H5" s="8">
        <v>46027</v>
      </c>
      <c r="I5" s="8">
        <v>46028</v>
      </c>
      <c r="J5" s="8">
        <v>46029</v>
      </c>
      <c r="K5" s="8">
        <v>46030</v>
      </c>
      <c r="L5" s="8">
        <v>46031</v>
      </c>
      <c r="M5" s="8">
        <v>46032</v>
      </c>
      <c r="N5" s="8">
        <v>46033</v>
      </c>
      <c r="O5" s="8">
        <v>46034</v>
      </c>
      <c r="P5" s="8">
        <v>46035</v>
      </c>
      <c r="Q5" s="8">
        <v>46036</v>
      </c>
      <c r="R5" s="8">
        <v>46037</v>
      </c>
      <c r="S5" s="8">
        <v>46038</v>
      </c>
      <c r="T5" s="8">
        <v>46039</v>
      </c>
      <c r="U5" s="8">
        <v>46040</v>
      </c>
      <c r="V5" s="8">
        <v>46041</v>
      </c>
      <c r="W5" s="8">
        <v>46042</v>
      </c>
      <c r="X5" s="8">
        <v>46043</v>
      </c>
      <c r="Y5" s="8">
        <v>46044</v>
      </c>
      <c r="Z5" s="8">
        <v>46045</v>
      </c>
      <c r="AA5" s="8">
        <v>46046</v>
      </c>
      <c r="AB5" s="8">
        <v>46047</v>
      </c>
      <c r="AC5" s="8">
        <v>46048</v>
      </c>
      <c r="AD5" s="8">
        <v>46049</v>
      </c>
      <c r="AE5" s="8">
        <v>46050</v>
      </c>
      <c r="AF5" s="8">
        <v>46051</v>
      </c>
      <c r="AG5" s="8">
        <v>46052</v>
      </c>
      <c r="AH5" s="8">
        <v>46053</v>
      </c>
      <c r="AI5" s="8">
        <v>46054</v>
      </c>
      <c r="AJ5" s="8">
        <v>46055</v>
      </c>
      <c r="AK5" s="8">
        <v>46056</v>
      </c>
      <c r="AL5" s="8">
        <v>46057</v>
      </c>
      <c r="AM5" s="5"/>
    </row>
    <row r="6" spans="4:40" x14ac:dyDescent="0.45">
      <c r="E6" s="16"/>
      <c r="F6" s="17"/>
      <c r="G6" s="17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9"/>
      <c r="AM6" s="9"/>
    </row>
    <row r="7" spans="4:40" x14ac:dyDescent="0.45">
      <c r="E7" s="15" t="s">
        <v>17</v>
      </c>
      <c r="F7" s="11" t="s">
        <v>2</v>
      </c>
      <c r="G7" s="11" t="s">
        <v>18</v>
      </c>
      <c r="H7" s="20">
        <v>1</v>
      </c>
      <c r="I7" s="20">
        <v>2</v>
      </c>
      <c r="J7" s="20">
        <v>3</v>
      </c>
      <c r="K7" s="20">
        <v>4</v>
      </c>
      <c r="L7" s="20">
        <v>2</v>
      </c>
      <c r="M7" s="20">
        <v>3</v>
      </c>
      <c r="N7" s="20">
        <v>4</v>
      </c>
      <c r="O7" s="20">
        <v>5</v>
      </c>
      <c r="P7" s="20">
        <v>6</v>
      </c>
      <c r="Q7" s="20">
        <v>7</v>
      </c>
      <c r="R7" s="20">
        <v>8</v>
      </c>
      <c r="S7" s="20">
        <v>9</v>
      </c>
      <c r="T7" s="20">
        <v>10</v>
      </c>
      <c r="U7" s="20">
        <v>11</v>
      </c>
      <c r="V7" s="20">
        <v>12</v>
      </c>
      <c r="W7" s="20">
        <v>13</v>
      </c>
      <c r="X7" s="20">
        <v>14</v>
      </c>
      <c r="Y7" s="20">
        <v>15</v>
      </c>
      <c r="Z7" s="20">
        <v>16</v>
      </c>
      <c r="AA7" s="20">
        <v>17</v>
      </c>
      <c r="AB7" s="20">
        <v>18</v>
      </c>
      <c r="AC7" s="20">
        <v>19</v>
      </c>
      <c r="AD7" s="20">
        <v>20</v>
      </c>
      <c r="AE7" s="20">
        <v>21</v>
      </c>
      <c r="AF7" s="20">
        <v>22</v>
      </c>
      <c r="AG7" s="20">
        <v>23</v>
      </c>
      <c r="AH7" s="20">
        <v>24</v>
      </c>
      <c r="AI7" s="20">
        <v>25</v>
      </c>
      <c r="AJ7" s="20">
        <v>26</v>
      </c>
      <c r="AK7" s="20">
        <v>27</v>
      </c>
      <c r="AL7" s="20">
        <v>28</v>
      </c>
      <c r="AM7" s="11" t="s">
        <v>2</v>
      </c>
    </row>
    <row r="8" spans="4:40" x14ac:dyDescent="0.45">
      <c r="D8" s="10"/>
      <c r="E8" t="s">
        <v>16</v>
      </c>
      <c r="F8" s="11">
        <f>VLOOKUP(E8,[1]Demanda_y_Materiales!$A:$D,4,0)</f>
        <v>28</v>
      </c>
      <c r="G8" s="12" t="s">
        <v>46</v>
      </c>
      <c r="H8" s="12"/>
      <c r="I8" s="27"/>
      <c r="J8" s="27"/>
      <c r="K8" s="27"/>
      <c r="L8" s="27"/>
      <c r="M8" s="28"/>
      <c r="N8" s="28"/>
      <c r="O8" s="27"/>
      <c r="P8" s="27">
        <v>5</v>
      </c>
      <c r="Q8" s="27">
        <v>7</v>
      </c>
      <c r="R8" s="27">
        <v>7</v>
      </c>
      <c r="S8" s="27">
        <v>7</v>
      </c>
      <c r="T8" s="28">
        <v>2</v>
      </c>
      <c r="U8" s="28"/>
      <c r="V8" s="27"/>
      <c r="W8" s="27"/>
      <c r="X8" s="27"/>
      <c r="Y8" s="27"/>
      <c r="Z8" s="27"/>
      <c r="AA8" s="28"/>
      <c r="AB8" s="28"/>
      <c r="AC8" s="27"/>
      <c r="AD8" s="27"/>
      <c r="AE8" s="27"/>
      <c r="AF8" s="27"/>
      <c r="AG8" s="27"/>
      <c r="AH8" s="28"/>
      <c r="AI8" s="28"/>
      <c r="AJ8" s="27"/>
      <c r="AK8" s="27"/>
      <c r="AL8" s="27"/>
      <c r="AM8" s="21">
        <f>SUM(H8:AL8)</f>
        <v>28</v>
      </c>
      <c r="AN8">
        <f>AM8-F8</f>
        <v>0</v>
      </c>
    </row>
    <row r="9" spans="4:40" x14ac:dyDescent="0.45">
      <c r="E9" t="s">
        <v>19</v>
      </c>
      <c r="F9" s="11">
        <f>VLOOKUP(E9,[1]Demanda_y_Materiales!$A:$D,4,0)</f>
        <v>3</v>
      </c>
      <c r="G9" s="12" t="s">
        <v>46</v>
      </c>
      <c r="H9" s="12"/>
      <c r="I9" s="27"/>
      <c r="J9" s="27"/>
      <c r="K9" s="27"/>
      <c r="L9" s="27"/>
      <c r="M9" s="28"/>
      <c r="N9" s="28"/>
      <c r="O9" s="27"/>
      <c r="P9" s="27"/>
      <c r="Q9" s="27"/>
      <c r="R9" s="27"/>
      <c r="S9" s="27"/>
      <c r="T9" s="28"/>
      <c r="U9" s="28"/>
      <c r="V9" s="27">
        <v>3</v>
      </c>
      <c r="W9" s="27"/>
      <c r="X9" s="27"/>
      <c r="Y9" s="27"/>
      <c r="Z9" s="27"/>
      <c r="AA9" s="28"/>
      <c r="AB9" s="28"/>
      <c r="AC9" s="27"/>
      <c r="AD9" s="27"/>
      <c r="AE9" s="27"/>
      <c r="AF9" s="27"/>
      <c r="AG9" s="27"/>
      <c r="AH9" s="28"/>
      <c r="AI9" s="28"/>
      <c r="AJ9" s="27"/>
      <c r="AK9" s="27"/>
      <c r="AL9" s="27"/>
      <c r="AM9" s="21">
        <f t="shared" ref="AM9:AM41" si="1">SUM(H9:AL9)</f>
        <v>3</v>
      </c>
      <c r="AN9">
        <f t="shared" ref="AN9:AN41" si="2">AM9-F9</f>
        <v>0</v>
      </c>
    </row>
    <row r="10" spans="4:40" x14ac:dyDescent="0.45">
      <c r="E10" t="s">
        <v>3</v>
      </c>
      <c r="F10" s="11">
        <v>51</v>
      </c>
      <c r="G10" s="12" t="s">
        <v>46</v>
      </c>
      <c r="H10" s="12">
        <v>7</v>
      </c>
      <c r="I10" s="27">
        <v>7</v>
      </c>
      <c r="J10" s="27">
        <v>7</v>
      </c>
      <c r="K10" s="27">
        <v>7</v>
      </c>
      <c r="L10" s="27">
        <v>7</v>
      </c>
      <c r="M10" s="28">
        <v>7</v>
      </c>
      <c r="N10" s="28"/>
      <c r="O10" s="27">
        <v>7</v>
      </c>
      <c r="P10" s="27">
        <v>2</v>
      </c>
      <c r="Q10" s="27"/>
      <c r="R10" s="27"/>
      <c r="S10" s="27"/>
      <c r="T10" s="28"/>
      <c r="U10" s="28"/>
      <c r="V10" s="27"/>
      <c r="W10" s="27"/>
      <c r="X10" s="27"/>
      <c r="Y10" s="27"/>
      <c r="Z10" s="27"/>
      <c r="AA10" s="28"/>
      <c r="AB10" s="28"/>
      <c r="AC10" s="27"/>
      <c r="AD10" s="27"/>
      <c r="AE10" s="27"/>
      <c r="AF10" s="27"/>
      <c r="AG10" s="27"/>
      <c r="AH10" s="28"/>
      <c r="AI10" s="28"/>
      <c r="AJ10" s="27"/>
      <c r="AK10" s="27"/>
      <c r="AL10" s="27"/>
      <c r="AM10" s="21">
        <f t="shared" si="1"/>
        <v>51</v>
      </c>
      <c r="AN10">
        <f t="shared" si="2"/>
        <v>0</v>
      </c>
    </row>
    <row r="11" spans="4:40" x14ac:dyDescent="0.45">
      <c r="E11" t="s">
        <v>13</v>
      </c>
      <c r="F11" s="11">
        <f>VLOOKUP(E11,[1]Demanda_y_Materiales!$A:$D,4,0)</f>
        <v>12</v>
      </c>
      <c r="G11" s="12" t="s">
        <v>4</v>
      </c>
      <c r="H11" s="12"/>
      <c r="I11" s="27"/>
      <c r="J11" s="27"/>
      <c r="K11" s="27"/>
      <c r="L11" s="27"/>
      <c r="M11" s="28"/>
      <c r="N11" s="28"/>
      <c r="O11" s="27"/>
      <c r="P11" s="13"/>
      <c r="Q11" s="13"/>
      <c r="R11" s="13"/>
      <c r="S11" s="13"/>
      <c r="T11" s="28"/>
      <c r="U11" s="28"/>
      <c r="V11" s="27">
        <v>5</v>
      </c>
      <c r="W11" s="27">
        <v>5</v>
      </c>
      <c r="X11" s="27">
        <v>2</v>
      </c>
      <c r="Y11" s="27"/>
      <c r="Z11" s="27"/>
      <c r="AA11" s="28"/>
      <c r="AB11" s="28"/>
      <c r="AC11" s="27"/>
      <c r="AD11" s="27"/>
      <c r="AE11" s="27"/>
      <c r="AF11" s="27"/>
      <c r="AG11" s="27"/>
      <c r="AH11" s="28"/>
      <c r="AI11" s="28"/>
      <c r="AJ11" s="27"/>
      <c r="AK11" s="27"/>
      <c r="AL11" s="27"/>
      <c r="AM11" s="21">
        <f t="shared" si="1"/>
        <v>12</v>
      </c>
      <c r="AN11">
        <f t="shared" si="2"/>
        <v>0</v>
      </c>
    </row>
    <row r="12" spans="4:40" x14ac:dyDescent="0.45">
      <c r="E12" t="s">
        <v>12</v>
      </c>
      <c r="F12" s="11">
        <f>VLOOKUP(E12,[1]Demanda_y_Materiales!$A:$D,4,0)</f>
        <v>64</v>
      </c>
      <c r="G12" s="12" t="s">
        <v>4</v>
      </c>
      <c r="H12" s="12"/>
      <c r="I12" s="27"/>
      <c r="J12" s="27"/>
      <c r="K12" s="27"/>
      <c r="L12" s="27"/>
      <c r="M12" s="28"/>
      <c r="N12" s="28"/>
      <c r="O12" s="27"/>
      <c r="P12" s="27"/>
      <c r="Q12" s="27"/>
      <c r="R12" s="27"/>
      <c r="S12" s="13"/>
      <c r="T12" s="28"/>
      <c r="U12" s="28"/>
      <c r="V12" s="13"/>
      <c r="W12" s="13"/>
      <c r="X12" s="13"/>
      <c r="Y12" s="27">
        <v>7</v>
      </c>
      <c r="Z12" s="27">
        <v>7</v>
      </c>
      <c r="AA12" s="28"/>
      <c r="AB12" s="28"/>
      <c r="AC12" s="27">
        <v>7</v>
      </c>
      <c r="AD12" s="27">
        <v>7</v>
      </c>
      <c r="AE12" s="27">
        <v>7</v>
      </c>
      <c r="AF12" s="27">
        <v>7</v>
      </c>
      <c r="AG12" s="27">
        <v>7</v>
      </c>
      <c r="AH12" s="28">
        <v>7</v>
      </c>
      <c r="AI12" s="28"/>
      <c r="AJ12" s="27">
        <v>7</v>
      </c>
      <c r="AK12" s="27">
        <v>1</v>
      </c>
      <c r="AL12" s="27"/>
      <c r="AM12" s="21">
        <f t="shared" si="1"/>
        <v>64</v>
      </c>
      <c r="AN12">
        <f t="shared" si="2"/>
        <v>0</v>
      </c>
    </row>
    <row r="13" spans="4:40" x14ac:dyDescent="0.45">
      <c r="E13" t="s">
        <v>3</v>
      </c>
      <c r="F13" s="11">
        <v>84</v>
      </c>
      <c r="G13" s="12" t="s">
        <v>4</v>
      </c>
      <c r="H13" s="12">
        <v>7</v>
      </c>
      <c r="I13" s="27">
        <v>7</v>
      </c>
      <c r="J13" s="27">
        <v>7</v>
      </c>
      <c r="K13" s="27">
        <v>7</v>
      </c>
      <c r="L13" s="27">
        <v>7</v>
      </c>
      <c r="M13" s="28">
        <v>7</v>
      </c>
      <c r="N13" s="28"/>
      <c r="O13" s="27">
        <v>7</v>
      </c>
      <c r="P13" s="27">
        <v>7</v>
      </c>
      <c r="Q13" s="27">
        <v>7</v>
      </c>
      <c r="R13" s="27">
        <v>7</v>
      </c>
      <c r="S13" s="27">
        <v>7</v>
      </c>
      <c r="T13" s="28">
        <v>7</v>
      </c>
      <c r="U13" s="28"/>
      <c r="V13" s="27"/>
      <c r="W13" s="27"/>
      <c r="X13" s="27"/>
      <c r="Y13" s="27"/>
      <c r="Z13" s="27"/>
      <c r="AA13" s="28"/>
      <c r="AB13" s="28"/>
      <c r="AC13" s="27"/>
      <c r="AD13" s="27"/>
      <c r="AE13" s="27"/>
      <c r="AF13" s="27"/>
      <c r="AG13" s="27"/>
      <c r="AH13" s="28"/>
      <c r="AI13" s="28"/>
      <c r="AJ13" s="27"/>
      <c r="AK13" s="27"/>
      <c r="AL13" s="27"/>
      <c r="AM13" s="21">
        <f t="shared" si="1"/>
        <v>84</v>
      </c>
      <c r="AN13">
        <f t="shared" si="2"/>
        <v>0</v>
      </c>
    </row>
    <row r="14" spans="4:40" x14ac:dyDescent="0.45">
      <c r="E14" t="s">
        <v>20</v>
      </c>
      <c r="F14" s="11">
        <f>VLOOKUP(E14,[1]Demanda_y_Materiales!$A:$D,4,0)</f>
        <v>9</v>
      </c>
      <c r="G14" s="12" t="s">
        <v>47</v>
      </c>
      <c r="H14" s="12"/>
      <c r="I14" s="27">
        <v>5</v>
      </c>
      <c r="J14" s="27">
        <v>4</v>
      </c>
      <c r="K14" s="27"/>
      <c r="L14" s="27"/>
      <c r="M14" s="28"/>
      <c r="N14" s="28"/>
      <c r="O14" s="27"/>
      <c r="P14" s="27"/>
      <c r="Q14" s="27"/>
      <c r="R14" s="27"/>
      <c r="S14" s="27"/>
      <c r="T14" s="28"/>
      <c r="U14" s="28"/>
      <c r="V14" s="27"/>
      <c r="W14" s="27"/>
      <c r="X14" s="27"/>
      <c r="Y14" s="27"/>
      <c r="Z14" s="27"/>
      <c r="AA14" s="28"/>
      <c r="AB14" s="28"/>
      <c r="AC14" s="27"/>
      <c r="AD14" s="27"/>
      <c r="AE14" s="27"/>
      <c r="AF14" s="27"/>
      <c r="AG14" s="27"/>
      <c r="AH14" s="28"/>
      <c r="AI14" s="28"/>
      <c r="AJ14" s="27"/>
      <c r="AK14" s="27"/>
      <c r="AL14" s="27"/>
      <c r="AM14" s="21">
        <f t="shared" si="1"/>
        <v>9</v>
      </c>
      <c r="AN14">
        <f t="shared" si="2"/>
        <v>0</v>
      </c>
    </row>
    <row r="15" spans="4:40" x14ac:dyDescent="0.45">
      <c r="E15" t="s">
        <v>21</v>
      </c>
      <c r="F15" s="11">
        <f>VLOOKUP(E15,[1]Demanda_y_Materiales!$A:$D,4,0)</f>
        <v>2</v>
      </c>
      <c r="G15" s="12" t="s">
        <v>47</v>
      </c>
      <c r="H15" s="12"/>
      <c r="I15" s="27"/>
      <c r="J15" s="27"/>
      <c r="K15" s="27">
        <v>2</v>
      </c>
      <c r="L15" s="27"/>
      <c r="M15" s="28"/>
      <c r="N15" s="28"/>
      <c r="O15" s="27"/>
      <c r="P15" s="27"/>
      <c r="Q15" s="27"/>
      <c r="R15" s="27"/>
      <c r="S15" s="27"/>
      <c r="T15" s="28"/>
      <c r="U15" s="28"/>
      <c r="V15" s="27"/>
      <c r="W15" s="27"/>
      <c r="X15" s="27"/>
      <c r="Y15" s="27"/>
      <c r="Z15" s="27"/>
      <c r="AA15" s="28"/>
      <c r="AB15" s="28"/>
      <c r="AC15" s="27"/>
      <c r="AD15" s="27"/>
      <c r="AE15" s="27"/>
      <c r="AF15" s="27"/>
      <c r="AG15" s="27"/>
      <c r="AH15" s="28"/>
      <c r="AI15" s="28"/>
      <c r="AJ15" s="27"/>
      <c r="AK15" s="27"/>
      <c r="AL15" s="27"/>
      <c r="AM15" s="21">
        <f t="shared" si="1"/>
        <v>2</v>
      </c>
      <c r="AN15">
        <f t="shared" si="2"/>
        <v>0</v>
      </c>
    </row>
    <row r="16" spans="4:40" x14ac:dyDescent="0.45">
      <c r="E16" t="s">
        <v>22</v>
      </c>
      <c r="F16" s="11">
        <f>VLOOKUP(E16,[1]Demanda_y_Materiales!$A:$D,4,0)</f>
        <v>3</v>
      </c>
      <c r="G16" s="12" t="s">
        <v>47</v>
      </c>
      <c r="H16" s="12"/>
      <c r="I16" s="27"/>
      <c r="J16" s="27"/>
      <c r="K16" s="27"/>
      <c r="L16" s="27">
        <v>3</v>
      </c>
      <c r="M16" s="28"/>
      <c r="N16" s="28"/>
      <c r="O16" s="27"/>
      <c r="P16" s="27"/>
      <c r="Q16" s="27"/>
      <c r="R16" s="27"/>
      <c r="S16" s="27"/>
      <c r="T16" s="28"/>
      <c r="U16" s="28"/>
      <c r="V16" s="27"/>
      <c r="W16" s="27"/>
      <c r="X16" s="27"/>
      <c r="Y16" s="27"/>
      <c r="Z16" s="27"/>
      <c r="AA16" s="28"/>
      <c r="AB16" s="28"/>
      <c r="AC16" s="27"/>
      <c r="AD16" s="27"/>
      <c r="AE16" s="27"/>
      <c r="AF16" s="27"/>
      <c r="AG16" s="27"/>
      <c r="AH16" s="28"/>
      <c r="AI16" s="28"/>
      <c r="AJ16" s="27"/>
      <c r="AK16" s="27"/>
      <c r="AL16" s="27"/>
      <c r="AM16" s="21">
        <f t="shared" si="1"/>
        <v>3</v>
      </c>
      <c r="AN16">
        <f t="shared" si="2"/>
        <v>0</v>
      </c>
    </row>
    <row r="17" spans="4:40" x14ac:dyDescent="0.45">
      <c r="D17" s="10"/>
      <c r="E17" t="s">
        <v>23</v>
      </c>
      <c r="F17" s="11">
        <f>VLOOKUP(E17,[1]Demanda_y_Materiales!$A:$D,4,0)</f>
        <v>35</v>
      </c>
      <c r="G17" s="12" t="s">
        <v>47</v>
      </c>
      <c r="H17" s="12"/>
      <c r="I17" s="27"/>
      <c r="J17" s="27"/>
      <c r="K17" s="27"/>
      <c r="L17" s="27"/>
      <c r="M17" s="28">
        <v>7</v>
      </c>
      <c r="N17" s="28"/>
      <c r="O17" s="27">
        <v>7</v>
      </c>
      <c r="P17" s="27">
        <v>7</v>
      </c>
      <c r="Q17" s="27">
        <v>7</v>
      </c>
      <c r="R17" s="27">
        <v>7</v>
      </c>
      <c r="S17" s="27"/>
      <c r="T17" s="28"/>
      <c r="U17" s="28"/>
      <c r="V17" s="27"/>
      <c r="W17" s="27"/>
      <c r="X17" s="27"/>
      <c r="Y17" s="27"/>
      <c r="Z17" s="27"/>
      <c r="AA17" s="28"/>
      <c r="AB17" s="28"/>
      <c r="AC17" s="27"/>
      <c r="AD17" s="27"/>
      <c r="AE17" s="27"/>
      <c r="AF17" s="27"/>
      <c r="AG17" s="27"/>
      <c r="AH17" s="28"/>
      <c r="AI17" s="28"/>
      <c r="AJ17" s="27"/>
      <c r="AK17" s="27"/>
      <c r="AL17" s="27"/>
      <c r="AM17" s="21">
        <f t="shared" si="1"/>
        <v>35</v>
      </c>
      <c r="AN17">
        <f t="shared" si="2"/>
        <v>0</v>
      </c>
    </row>
    <row r="18" spans="4:40" x14ac:dyDescent="0.45">
      <c r="D18" s="10"/>
      <c r="E18" t="s">
        <v>24</v>
      </c>
      <c r="F18" s="11">
        <f>VLOOKUP(E18,[1]Demanda_y_Materiales!$A:$D,4,0)</f>
        <v>2</v>
      </c>
      <c r="G18" s="12" t="s">
        <v>47</v>
      </c>
      <c r="H18" s="12"/>
      <c r="I18" s="27"/>
      <c r="J18" s="27"/>
      <c r="K18" s="27"/>
      <c r="L18" s="27"/>
      <c r="M18" s="28"/>
      <c r="N18" s="28"/>
      <c r="O18" s="27"/>
      <c r="P18" s="27"/>
      <c r="Q18" s="27"/>
      <c r="R18" s="27"/>
      <c r="S18" s="27">
        <v>2</v>
      </c>
      <c r="T18" s="28"/>
      <c r="U18" s="28"/>
      <c r="V18" s="27"/>
      <c r="W18" s="27"/>
      <c r="X18" s="27"/>
      <c r="Y18" s="27"/>
      <c r="Z18" s="27"/>
      <c r="AA18" s="28"/>
      <c r="AB18" s="28"/>
      <c r="AC18" s="27"/>
      <c r="AD18" s="27"/>
      <c r="AE18" s="27"/>
      <c r="AF18" s="27"/>
      <c r="AG18" s="27"/>
      <c r="AH18" s="28"/>
      <c r="AI18" s="28"/>
      <c r="AJ18" s="27"/>
      <c r="AK18" s="27"/>
      <c r="AL18" s="27"/>
      <c r="AM18" s="21">
        <f t="shared" si="1"/>
        <v>2</v>
      </c>
      <c r="AN18">
        <f t="shared" si="2"/>
        <v>0</v>
      </c>
    </row>
    <row r="19" spans="4:40" x14ac:dyDescent="0.45">
      <c r="D19" s="10"/>
      <c r="E19" t="s">
        <v>34</v>
      </c>
      <c r="F19" s="11">
        <f>VLOOKUP(E19,[1]Demanda_y_Materiales!$A:$D,4,0)</f>
        <v>2</v>
      </c>
      <c r="G19" s="12" t="s">
        <v>47</v>
      </c>
      <c r="H19" s="12">
        <v>2</v>
      </c>
      <c r="I19" s="27"/>
      <c r="J19" s="27"/>
      <c r="K19" s="27"/>
      <c r="L19" s="27"/>
      <c r="M19" s="28"/>
      <c r="N19" s="28"/>
      <c r="O19" s="27"/>
      <c r="P19" s="27"/>
      <c r="Q19" s="27"/>
      <c r="R19" s="27"/>
      <c r="S19" s="27"/>
      <c r="T19" s="28"/>
      <c r="U19" s="28"/>
      <c r="V19" s="27"/>
      <c r="W19" s="27"/>
      <c r="X19" s="27"/>
      <c r="Y19" s="27"/>
      <c r="Z19" s="27"/>
      <c r="AA19" s="28"/>
      <c r="AB19" s="28"/>
      <c r="AC19" s="27"/>
      <c r="AD19" s="27"/>
      <c r="AE19" s="27"/>
      <c r="AF19" s="27"/>
      <c r="AG19" s="27"/>
      <c r="AH19" s="28"/>
      <c r="AI19" s="28"/>
      <c r="AJ19" s="27"/>
      <c r="AK19" s="27"/>
      <c r="AL19" s="27"/>
      <c r="AM19" s="21">
        <f t="shared" si="1"/>
        <v>2</v>
      </c>
      <c r="AN19">
        <f t="shared" si="2"/>
        <v>0</v>
      </c>
    </row>
    <row r="20" spans="4:40" x14ac:dyDescent="0.45">
      <c r="D20" s="10"/>
      <c r="E20" t="s">
        <v>14</v>
      </c>
      <c r="F20" s="11">
        <f>VLOOKUP(E20,[1]Demanda_y_Materiales!$A:$D,4,0)</f>
        <v>61</v>
      </c>
      <c r="G20" s="12" t="s">
        <v>47</v>
      </c>
      <c r="H20" s="12"/>
      <c r="I20" s="27"/>
      <c r="J20" s="27"/>
      <c r="K20" s="27"/>
      <c r="L20" s="27"/>
      <c r="M20" s="28"/>
      <c r="N20" s="28"/>
      <c r="O20" s="27"/>
      <c r="P20" s="27"/>
      <c r="Q20" s="27"/>
      <c r="R20" s="27"/>
      <c r="S20" s="27"/>
      <c r="T20" s="28">
        <v>7</v>
      </c>
      <c r="U20" s="28">
        <v>7</v>
      </c>
      <c r="V20" s="27">
        <v>7</v>
      </c>
      <c r="W20" s="27">
        <v>7</v>
      </c>
      <c r="X20" s="27">
        <v>7</v>
      </c>
      <c r="Y20" s="27">
        <v>7</v>
      </c>
      <c r="Z20" s="27">
        <v>7</v>
      </c>
      <c r="AA20" s="28">
        <v>7</v>
      </c>
      <c r="AB20" s="28"/>
      <c r="AC20" s="27">
        <v>5</v>
      </c>
      <c r="AD20" s="27"/>
      <c r="AE20" s="27"/>
      <c r="AF20" s="27"/>
      <c r="AG20" s="27"/>
      <c r="AH20" s="28"/>
      <c r="AI20" s="28"/>
      <c r="AJ20" s="27"/>
      <c r="AK20" s="27"/>
      <c r="AL20" s="27"/>
      <c r="AM20" s="21">
        <f t="shared" si="1"/>
        <v>61</v>
      </c>
      <c r="AN20">
        <f t="shared" si="2"/>
        <v>0</v>
      </c>
    </row>
    <row r="21" spans="4:40" x14ac:dyDescent="0.45">
      <c r="D21" s="10"/>
      <c r="E21" t="s">
        <v>25</v>
      </c>
      <c r="F21" s="11">
        <f>VLOOKUP(E21,[1]Demanda_y_Materiales!$A:$D,4,0)</f>
        <v>126</v>
      </c>
      <c r="G21" s="12" t="s">
        <v>6</v>
      </c>
      <c r="H21" s="12"/>
      <c r="I21" s="27"/>
      <c r="J21" s="27"/>
      <c r="K21" s="27">
        <v>7</v>
      </c>
      <c r="L21" s="27">
        <v>7</v>
      </c>
      <c r="M21" s="28">
        <v>7</v>
      </c>
      <c r="N21" s="28"/>
      <c r="O21" s="27"/>
      <c r="P21" s="27">
        <v>7</v>
      </c>
      <c r="Q21" s="27">
        <v>7</v>
      </c>
      <c r="R21" s="27">
        <v>7</v>
      </c>
      <c r="S21" s="27">
        <v>7</v>
      </c>
      <c r="T21" s="28">
        <v>7</v>
      </c>
      <c r="U21" s="28"/>
      <c r="V21" s="27">
        <v>7</v>
      </c>
      <c r="W21" s="27">
        <v>7</v>
      </c>
      <c r="X21" s="27">
        <v>7</v>
      </c>
      <c r="Y21" s="27">
        <v>7</v>
      </c>
      <c r="Z21" s="27">
        <v>7</v>
      </c>
      <c r="AA21" s="28">
        <v>7</v>
      </c>
      <c r="AB21" s="28"/>
      <c r="AC21" s="27">
        <v>7</v>
      </c>
      <c r="AD21" s="27">
        <v>7</v>
      </c>
      <c r="AE21" s="27">
        <v>7</v>
      </c>
      <c r="AF21" s="27">
        <v>7</v>
      </c>
      <c r="AG21" s="27"/>
      <c r="AH21" s="28"/>
      <c r="AI21" s="28"/>
      <c r="AJ21" s="27"/>
      <c r="AK21" s="27"/>
      <c r="AL21" s="27"/>
      <c r="AM21" s="21">
        <f t="shared" si="1"/>
        <v>126</v>
      </c>
      <c r="AN21">
        <f t="shared" si="2"/>
        <v>0</v>
      </c>
    </row>
    <row r="22" spans="4:40" x14ac:dyDescent="0.45">
      <c r="D22" s="10"/>
      <c r="E22" t="s">
        <v>26</v>
      </c>
      <c r="F22" s="11">
        <f>VLOOKUP(E22,[1]Demanda_y_Materiales!$A:$D,4,0)</f>
        <v>1</v>
      </c>
      <c r="G22" s="12" t="s">
        <v>6</v>
      </c>
      <c r="H22" s="12"/>
      <c r="I22" s="27"/>
      <c r="J22" s="27"/>
      <c r="K22" s="27"/>
      <c r="L22" s="27"/>
      <c r="M22" s="28"/>
      <c r="N22" s="28"/>
      <c r="O22" s="27"/>
      <c r="P22" s="27"/>
      <c r="Q22" s="27"/>
      <c r="R22" s="27"/>
      <c r="S22" s="27"/>
      <c r="T22" s="28"/>
      <c r="U22" s="28"/>
      <c r="V22" s="27"/>
      <c r="W22" s="27"/>
      <c r="X22" s="27"/>
      <c r="Y22" s="27"/>
      <c r="Z22" s="27"/>
      <c r="AA22" s="28"/>
      <c r="AB22" s="28"/>
      <c r="AC22" s="27"/>
      <c r="AD22" s="27"/>
      <c r="AE22" s="27"/>
      <c r="AF22" s="27"/>
      <c r="AG22" s="27"/>
      <c r="AH22" s="28"/>
      <c r="AI22" s="28"/>
      <c r="AJ22" s="27">
        <v>1</v>
      </c>
      <c r="AK22" s="27"/>
      <c r="AL22" s="27"/>
      <c r="AM22" s="21">
        <f t="shared" si="1"/>
        <v>1</v>
      </c>
      <c r="AN22">
        <f t="shared" si="2"/>
        <v>0</v>
      </c>
    </row>
    <row r="23" spans="4:40" x14ac:dyDescent="0.45">
      <c r="D23" s="10"/>
      <c r="E23" t="s">
        <v>27</v>
      </c>
      <c r="F23" s="11">
        <f>VLOOKUP(E23,[1]Demanda_y_Materiales!$A:$D,4,0)</f>
        <v>14</v>
      </c>
      <c r="G23" s="12" t="s">
        <v>6</v>
      </c>
      <c r="H23" s="12"/>
      <c r="I23" s="27"/>
      <c r="J23" s="27"/>
      <c r="K23" s="27"/>
      <c r="L23" s="27"/>
      <c r="M23" s="28"/>
      <c r="N23" s="28"/>
      <c r="O23" s="27"/>
      <c r="P23" s="27"/>
      <c r="Q23" s="27"/>
      <c r="R23" s="27"/>
      <c r="S23" s="27"/>
      <c r="T23" s="28"/>
      <c r="U23" s="28"/>
      <c r="V23" s="27"/>
      <c r="W23" s="27"/>
      <c r="X23" s="27"/>
      <c r="Y23" s="27"/>
      <c r="Z23" s="27"/>
      <c r="AA23" s="28"/>
      <c r="AB23" s="28"/>
      <c r="AC23" s="27"/>
      <c r="AD23" s="27"/>
      <c r="AE23" s="27"/>
      <c r="AF23" s="27"/>
      <c r="AG23" s="27">
        <v>7</v>
      </c>
      <c r="AH23" s="28">
        <v>7</v>
      </c>
      <c r="AI23" s="28"/>
      <c r="AJ23" s="27"/>
      <c r="AK23" s="27"/>
      <c r="AL23" s="27"/>
      <c r="AM23" s="21">
        <f t="shared" si="1"/>
        <v>14</v>
      </c>
      <c r="AN23">
        <f t="shared" si="2"/>
        <v>0</v>
      </c>
    </row>
    <row r="24" spans="4:40" x14ac:dyDescent="0.45">
      <c r="D24" s="26"/>
      <c r="E24" t="s">
        <v>3</v>
      </c>
      <c r="F24" s="11">
        <v>21</v>
      </c>
      <c r="G24" s="12" t="s">
        <v>6</v>
      </c>
      <c r="H24" s="12">
        <v>7</v>
      </c>
      <c r="I24" s="27">
        <v>7</v>
      </c>
      <c r="J24" s="27">
        <v>7</v>
      </c>
      <c r="K24" s="27"/>
      <c r="L24" s="27"/>
      <c r="M24" s="28"/>
      <c r="N24" s="28"/>
      <c r="O24" s="27"/>
      <c r="P24" s="27"/>
      <c r="Q24" s="27"/>
      <c r="R24" s="27"/>
      <c r="S24" s="27"/>
      <c r="T24" s="28"/>
      <c r="U24" s="28"/>
      <c r="V24" s="27"/>
      <c r="W24" s="27"/>
      <c r="X24" s="27"/>
      <c r="Y24" s="27"/>
      <c r="Z24" s="27"/>
      <c r="AA24" s="28"/>
      <c r="AB24" s="28"/>
      <c r="AC24" s="27"/>
      <c r="AD24" s="27"/>
      <c r="AE24" s="27"/>
      <c r="AF24" s="27"/>
      <c r="AG24" s="27"/>
      <c r="AH24" s="28"/>
      <c r="AI24" s="28"/>
      <c r="AJ24" s="27"/>
      <c r="AK24" s="27"/>
      <c r="AL24" s="27"/>
      <c r="AM24" s="21">
        <f t="shared" si="1"/>
        <v>21</v>
      </c>
      <c r="AN24">
        <f t="shared" si="2"/>
        <v>0</v>
      </c>
    </row>
    <row r="25" spans="4:40" x14ac:dyDescent="0.45">
      <c r="D25" s="10"/>
      <c r="E25" t="s">
        <v>28</v>
      </c>
      <c r="F25" s="11">
        <f>VLOOKUP(E25,[1]Demanda_y_Materiales!$A:$D,4,0)</f>
        <v>103</v>
      </c>
      <c r="G25" s="12" t="s">
        <v>48</v>
      </c>
      <c r="I25" s="12">
        <v>5</v>
      </c>
      <c r="J25" s="27">
        <v>7</v>
      </c>
      <c r="K25" s="27">
        <v>7</v>
      </c>
      <c r="L25" s="27">
        <v>7</v>
      </c>
      <c r="M25" s="28">
        <v>7</v>
      </c>
      <c r="N25" s="28"/>
      <c r="O25" s="27">
        <v>7</v>
      </c>
      <c r="P25" s="27">
        <v>7</v>
      </c>
      <c r="Q25" s="27">
        <v>7</v>
      </c>
      <c r="R25" s="27">
        <v>7</v>
      </c>
      <c r="S25" s="27">
        <v>7</v>
      </c>
      <c r="T25" s="28">
        <v>7</v>
      </c>
      <c r="U25" s="28"/>
      <c r="V25" s="27">
        <v>7</v>
      </c>
      <c r="W25" s="22">
        <v>7</v>
      </c>
      <c r="X25" s="22">
        <v>7</v>
      </c>
      <c r="Y25" s="22">
        <v>7</v>
      </c>
      <c r="Z25" s="27"/>
      <c r="AA25" s="28"/>
      <c r="AB25" s="28"/>
      <c r="AC25" s="27"/>
      <c r="AD25" s="27"/>
      <c r="AE25" s="27"/>
      <c r="AF25" s="27"/>
      <c r="AG25" s="27"/>
      <c r="AH25" s="28"/>
      <c r="AI25" s="28"/>
      <c r="AJ25" s="27"/>
      <c r="AK25" s="27"/>
      <c r="AL25" s="27"/>
      <c r="AM25" s="21">
        <f>SUM(I25:AL25)</f>
        <v>103</v>
      </c>
      <c r="AN25">
        <f t="shared" si="2"/>
        <v>0</v>
      </c>
    </row>
    <row r="26" spans="4:40" x14ac:dyDescent="0.45">
      <c r="D26" s="10"/>
      <c r="E26" t="s">
        <v>10</v>
      </c>
      <c r="F26" s="11">
        <f>VLOOKUP(E26,[1]Demanda_y_Materiales!$A:$D,4,0)</f>
        <v>22</v>
      </c>
      <c r="G26" s="12" t="s">
        <v>48</v>
      </c>
      <c r="H26" s="12"/>
      <c r="I26" s="27"/>
      <c r="J26" s="27"/>
      <c r="K26" s="27"/>
      <c r="L26" s="27"/>
      <c r="M26" s="28"/>
      <c r="N26" s="28"/>
      <c r="O26" s="27"/>
      <c r="P26" s="27"/>
      <c r="Q26" s="27"/>
      <c r="R26" s="27"/>
      <c r="S26" s="27"/>
      <c r="T26" s="28"/>
      <c r="U26" s="28"/>
      <c r="V26" s="27"/>
      <c r="W26" s="27"/>
      <c r="X26" s="27"/>
      <c r="Y26" s="27">
        <v>7</v>
      </c>
      <c r="Z26" s="27">
        <v>7</v>
      </c>
      <c r="AA26" s="28">
        <v>7</v>
      </c>
      <c r="AB26" s="28"/>
      <c r="AC26" s="27">
        <v>1</v>
      </c>
      <c r="AD26" s="27"/>
      <c r="AE26" s="27"/>
      <c r="AF26" s="27"/>
      <c r="AG26" s="27"/>
      <c r="AH26" s="28"/>
      <c r="AI26" s="28"/>
      <c r="AJ26" s="27"/>
      <c r="AK26" s="27"/>
      <c r="AL26" s="27"/>
      <c r="AM26" s="21">
        <f t="shared" si="1"/>
        <v>22</v>
      </c>
      <c r="AN26">
        <f t="shared" si="2"/>
        <v>0</v>
      </c>
    </row>
    <row r="27" spans="4:40" x14ac:dyDescent="0.45">
      <c r="D27" s="10"/>
      <c r="E27" t="s">
        <v>11</v>
      </c>
      <c r="F27" s="11">
        <f>VLOOKUP(E27,[1]Demanda_y_Materiales!$A:$D,4,0)</f>
        <v>4</v>
      </c>
      <c r="G27" s="12" t="s">
        <v>48</v>
      </c>
      <c r="H27" s="12">
        <v>4</v>
      </c>
      <c r="I27" s="27"/>
      <c r="J27" s="27"/>
      <c r="K27" s="27"/>
      <c r="L27" s="27"/>
      <c r="M27" s="28"/>
      <c r="N27" s="28"/>
      <c r="O27" s="27"/>
      <c r="P27" s="27"/>
      <c r="Q27" s="27"/>
      <c r="R27" s="27"/>
      <c r="S27" s="27"/>
      <c r="T27" s="28"/>
      <c r="U27" s="28"/>
      <c r="V27" s="27"/>
      <c r="W27" s="27"/>
      <c r="X27" s="27"/>
      <c r="Y27" s="27"/>
      <c r="Z27" s="27"/>
      <c r="AA27" s="28"/>
      <c r="AB27" s="28"/>
      <c r="AC27" s="27"/>
      <c r="AD27" s="27"/>
      <c r="AE27" s="27"/>
      <c r="AF27" s="27"/>
      <c r="AG27" s="27"/>
      <c r="AH27" s="28"/>
      <c r="AI27" s="28"/>
      <c r="AJ27" s="27"/>
      <c r="AK27" s="27"/>
      <c r="AL27" s="27"/>
      <c r="AM27" s="21">
        <f t="shared" ref="AM27" si="3">SUM(H27:AL27)</f>
        <v>4</v>
      </c>
      <c r="AN27">
        <f t="shared" si="2"/>
        <v>0</v>
      </c>
    </row>
    <row r="28" spans="4:40" x14ac:dyDescent="0.45">
      <c r="D28" s="10"/>
      <c r="E28" t="s">
        <v>29</v>
      </c>
      <c r="F28" s="11">
        <f>VLOOKUP(E28,[1]Demanda_y_Materiales!$A:$D,4,0)</f>
        <v>22</v>
      </c>
      <c r="G28" s="12" t="s">
        <v>48</v>
      </c>
      <c r="H28" s="12"/>
      <c r="I28" s="27"/>
      <c r="J28" s="27"/>
      <c r="K28" s="27"/>
      <c r="L28" s="27"/>
      <c r="M28" s="28"/>
      <c r="N28" s="28"/>
      <c r="O28" s="27"/>
      <c r="P28" s="27"/>
      <c r="Q28" s="27"/>
      <c r="R28" s="27"/>
      <c r="S28" s="27"/>
      <c r="T28" s="28"/>
      <c r="U28" s="28"/>
      <c r="V28" s="27"/>
      <c r="W28" s="27"/>
      <c r="X28" s="27"/>
      <c r="Y28" s="27"/>
      <c r="Z28" s="27"/>
      <c r="AA28" s="28"/>
      <c r="AB28" s="28"/>
      <c r="AC28" s="27"/>
      <c r="AD28" s="27"/>
      <c r="AE28" s="27">
        <v>7</v>
      </c>
      <c r="AF28" s="27">
        <v>7</v>
      </c>
      <c r="AG28" s="27">
        <v>7</v>
      </c>
      <c r="AH28" s="28">
        <v>1</v>
      </c>
      <c r="AI28" s="28"/>
      <c r="AJ28" s="27"/>
      <c r="AK28" s="27"/>
      <c r="AL28" s="27"/>
      <c r="AM28" s="21">
        <f t="shared" si="1"/>
        <v>22</v>
      </c>
      <c r="AN28">
        <f t="shared" si="2"/>
        <v>0</v>
      </c>
    </row>
    <row r="29" spans="4:40" x14ac:dyDescent="0.45">
      <c r="D29" s="10"/>
      <c r="E29" t="s">
        <v>7</v>
      </c>
      <c r="F29" s="11">
        <f>VLOOKUP(E29,[1]Demanda_y_Materiales!$A:$D,4,0)</f>
        <v>4</v>
      </c>
      <c r="G29" s="12" t="s">
        <v>5</v>
      </c>
      <c r="H29" s="12"/>
      <c r="I29" s="27"/>
      <c r="J29" s="27"/>
      <c r="K29" s="27"/>
      <c r="L29" s="27"/>
      <c r="M29" s="28">
        <v>4</v>
      </c>
      <c r="N29" s="28"/>
      <c r="O29" s="27"/>
      <c r="P29" s="27"/>
      <c r="Q29" s="27"/>
      <c r="R29" s="27"/>
      <c r="S29" s="27"/>
      <c r="T29" s="28"/>
      <c r="U29" s="28"/>
      <c r="V29" s="27"/>
      <c r="W29" s="27"/>
      <c r="X29" s="27"/>
      <c r="Y29" s="27"/>
      <c r="Z29" s="27"/>
      <c r="AA29" s="28"/>
      <c r="AB29" s="28"/>
      <c r="AC29" s="27"/>
      <c r="AD29" s="27"/>
      <c r="AE29" s="27"/>
      <c r="AF29" s="27"/>
      <c r="AG29" s="27"/>
      <c r="AH29" s="28"/>
      <c r="AI29" s="28"/>
      <c r="AJ29" s="27"/>
      <c r="AK29" s="27"/>
      <c r="AL29" s="27"/>
      <c r="AM29" s="21">
        <f t="shared" si="1"/>
        <v>4</v>
      </c>
      <c r="AN29">
        <f t="shared" si="2"/>
        <v>0</v>
      </c>
    </row>
    <row r="30" spans="4:40" x14ac:dyDescent="0.45">
      <c r="D30" s="10"/>
      <c r="E30" t="s">
        <v>30</v>
      </c>
      <c r="F30" s="11">
        <f>VLOOKUP(E30,[1]Demanda_y_Materiales!$A:$D,4,0)</f>
        <v>71</v>
      </c>
      <c r="G30" s="12" t="s">
        <v>5</v>
      </c>
      <c r="H30" s="12"/>
      <c r="I30" s="27"/>
      <c r="J30" s="27"/>
      <c r="K30" s="27"/>
      <c r="L30" s="27"/>
      <c r="M30" s="28"/>
      <c r="N30" s="28"/>
      <c r="O30" s="27">
        <v>7</v>
      </c>
      <c r="P30" s="27">
        <v>7</v>
      </c>
      <c r="Q30" s="27">
        <v>7</v>
      </c>
      <c r="R30" s="27">
        <v>7</v>
      </c>
      <c r="S30" s="27">
        <v>7</v>
      </c>
      <c r="T30" s="28">
        <v>7</v>
      </c>
      <c r="U30" s="28"/>
      <c r="V30" s="27">
        <v>7</v>
      </c>
      <c r="W30" s="27">
        <v>7</v>
      </c>
      <c r="X30" s="27">
        <v>7</v>
      </c>
      <c r="Y30" s="27">
        <v>7</v>
      </c>
      <c r="Z30" s="27">
        <v>1</v>
      </c>
      <c r="AA30" s="28"/>
      <c r="AB30" s="28"/>
      <c r="AC30" s="27"/>
      <c r="AD30" s="27"/>
      <c r="AE30" s="27"/>
      <c r="AF30" s="27"/>
      <c r="AG30" s="27"/>
      <c r="AH30" s="28"/>
      <c r="AI30" s="28"/>
      <c r="AJ30" s="27"/>
      <c r="AK30" s="27"/>
      <c r="AL30" s="27"/>
      <c r="AM30" s="21">
        <f t="shared" si="1"/>
        <v>71</v>
      </c>
      <c r="AN30">
        <f t="shared" si="2"/>
        <v>0</v>
      </c>
    </row>
    <row r="31" spans="4:40" x14ac:dyDescent="0.45">
      <c r="D31" s="10"/>
      <c r="E31" t="s">
        <v>8</v>
      </c>
      <c r="F31" s="11">
        <f>VLOOKUP(E31,[1]Demanda_y_Materiales!$A:$D,4,0)</f>
        <v>35</v>
      </c>
      <c r="G31" s="12" t="s">
        <v>5</v>
      </c>
      <c r="H31" s="12"/>
      <c r="I31" s="27"/>
      <c r="J31" s="27"/>
      <c r="K31" s="27"/>
      <c r="L31" s="27"/>
      <c r="M31" s="28"/>
      <c r="N31" s="28"/>
      <c r="O31" s="27"/>
      <c r="P31" s="27"/>
      <c r="Q31" s="27"/>
      <c r="R31" s="27"/>
      <c r="S31" s="27"/>
      <c r="T31" s="28"/>
      <c r="U31" s="28"/>
      <c r="V31" s="27"/>
      <c r="W31" s="27"/>
      <c r="X31" s="27"/>
      <c r="Y31" s="27"/>
      <c r="Z31" s="27"/>
      <c r="AA31" s="28">
        <v>7</v>
      </c>
      <c r="AB31" s="28"/>
      <c r="AC31" s="27">
        <v>7</v>
      </c>
      <c r="AD31" s="27">
        <v>7</v>
      </c>
      <c r="AE31" s="27">
        <v>7</v>
      </c>
      <c r="AF31" s="27">
        <v>7</v>
      </c>
      <c r="AG31" s="27"/>
      <c r="AH31" s="28"/>
      <c r="AI31" s="28"/>
      <c r="AJ31" s="27"/>
      <c r="AK31" s="27"/>
      <c r="AL31" s="27"/>
      <c r="AM31" s="21">
        <f t="shared" si="1"/>
        <v>35</v>
      </c>
      <c r="AN31">
        <f t="shared" si="2"/>
        <v>0</v>
      </c>
    </row>
    <row r="32" spans="4:40" x14ac:dyDescent="0.45">
      <c r="D32" s="10"/>
      <c r="E32" t="s">
        <v>9</v>
      </c>
      <c r="F32" s="11">
        <f>VLOOKUP(E32,[1]Demanda_y_Materiales!$A:$D,4,0)</f>
        <v>2</v>
      </c>
      <c r="G32" s="12" t="s">
        <v>5</v>
      </c>
      <c r="H32" s="12"/>
      <c r="I32" s="27"/>
      <c r="J32" s="27"/>
      <c r="K32" s="27"/>
      <c r="L32" s="27"/>
      <c r="M32" s="28"/>
      <c r="N32" s="28"/>
      <c r="O32" s="27"/>
      <c r="P32" s="27"/>
      <c r="Q32" s="27"/>
      <c r="R32" s="27"/>
      <c r="S32" s="27"/>
      <c r="T32" s="28"/>
      <c r="U32" s="28"/>
      <c r="V32" s="27"/>
      <c r="W32" s="27"/>
      <c r="X32" s="27"/>
      <c r="Y32" s="27"/>
      <c r="Z32" s="27"/>
      <c r="AA32" s="28"/>
      <c r="AB32" s="28"/>
      <c r="AC32" s="27"/>
      <c r="AD32" s="27"/>
      <c r="AE32" s="27"/>
      <c r="AF32" s="27"/>
      <c r="AG32" s="27">
        <v>2</v>
      </c>
      <c r="AH32" s="28"/>
      <c r="AI32" s="28"/>
      <c r="AJ32" s="27"/>
      <c r="AK32" s="27"/>
      <c r="AL32" s="27"/>
      <c r="AM32" s="21">
        <f t="shared" si="1"/>
        <v>2</v>
      </c>
      <c r="AN32">
        <f t="shared" si="2"/>
        <v>0</v>
      </c>
    </row>
    <row r="33" spans="4:40" x14ac:dyDescent="0.45">
      <c r="D33" s="10"/>
      <c r="E33" t="s">
        <v>31</v>
      </c>
      <c r="F33" s="11">
        <f>VLOOKUP(E33,[1]Demanda_y_Materiales!$A:$D,4,0)</f>
        <v>6</v>
      </c>
      <c r="G33" s="12" t="s">
        <v>5</v>
      </c>
      <c r="H33" s="12"/>
      <c r="I33" s="27"/>
      <c r="J33" s="27"/>
      <c r="K33" s="27"/>
      <c r="L33" s="27"/>
      <c r="M33" s="28"/>
      <c r="N33" s="28"/>
      <c r="O33" s="27"/>
      <c r="P33" s="27"/>
      <c r="Q33" s="27"/>
      <c r="R33" s="27"/>
      <c r="S33" s="27"/>
      <c r="T33" s="28"/>
      <c r="U33" s="28"/>
      <c r="V33" s="27"/>
      <c r="W33" s="27"/>
      <c r="X33" s="27"/>
      <c r="Y33" s="27"/>
      <c r="Z33" s="27"/>
      <c r="AA33" s="28"/>
      <c r="AB33" s="28"/>
      <c r="AC33" s="27"/>
      <c r="AD33" s="27"/>
      <c r="AE33" s="27"/>
      <c r="AF33" s="27"/>
      <c r="AG33" s="27"/>
      <c r="AH33" s="28">
        <v>6</v>
      </c>
      <c r="AI33" s="28"/>
      <c r="AJ33" s="27"/>
      <c r="AK33" s="27"/>
      <c r="AL33" s="27"/>
      <c r="AM33" s="21">
        <f t="shared" si="1"/>
        <v>6</v>
      </c>
      <c r="AN33">
        <f t="shared" si="2"/>
        <v>0</v>
      </c>
    </row>
    <row r="34" spans="4:40" x14ac:dyDescent="0.45">
      <c r="D34" s="10"/>
      <c r="E34" t="s">
        <v>3</v>
      </c>
      <c r="F34" s="11">
        <v>35</v>
      </c>
      <c r="G34" s="12" t="s">
        <v>5</v>
      </c>
      <c r="H34" s="12">
        <v>7</v>
      </c>
      <c r="I34" s="27">
        <v>7</v>
      </c>
      <c r="J34" s="27">
        <v>7</v>
      </c>
      <c r="K34" s="27">
        <v>7</v>
      </c>
      <c r="L34" s="27">
        <v>7</v>
      </c>
      <c r="M34" s="28"/>
      <c r="N34" s="28"/>
      <c r="O34" s="27"/>
      <c r="P34" s="27"/>
      <c r="Q34" s="27"/>
      <c r="R34" s="27"/>
      <c r="S34" s="27"/>
      <c r="T34" s="28"/>
      <c r="U34" s="28"/>
      <c r="V34" s="27"/>
      <c r="W34" s="27"/>
      <c r="X34" s="27"/>
      <c r="Y34" s="27"/>
      <c r="Z34" s="27"/>
      <c r="AA34" s="28"/>
      <c r="AB34" s="28"/>
      <c r="AC34" s="27"/>
      <c r="AD34" s="27"/>
      <c r="AE34" s="27"/>
      <c r="AF34" s="27"/>
      <c r="AG34" s="27"/>
      <c r="AH34" s="28"/>
      <c r="AI34" s="28"/>
      <c r="AJ34" s="27"/>
      <c r="AK34" s="27"/>
      <c r="AL34" s="27"/>
      <c r="AM34" s="21">
        <f t="shared" si="1"/>
        <v>35</v>
      </c>
      <c r="AN34">
        <f t="shared" si="2"/>
        <v>0</v>
      </c>
    </row>
    <row r="35" spans="4:40" hidden="1" x14ac:dyDescent="0.45">
      <c r="D35" s="10"/>
      <c r="E35" t="s">
        <v>32</v>
      </c>
      <c r="F35" s="11">
        <f>VLOOKUP(E35,[1]Demanda_y_Materiales!$A:$D,4,0)</f>
        <v>10</v>
      </c>
      <c r="G35" s="12" t="s">
        <v>39</v>
      </c>
      <c r="H35" s="12">
        <v>5</v>
      </c>
      <c r="I35" s="27">
        <v>5</v>
      </c>
      <c r="J35" s="27"/>
      <c r="K35" s="27"/>
      <c r="L35" s="27"/>
      <c r="M35" s="28"/>
      <c r="N35" s="28"/>
      <c r="O35" s="27"/>
      <c r="P35" s="27"/>
      <c r="Q35" s="27"/>
      <c r="R35" s="27"/>
      <c r="S35" s="27"/>
      <c r="T35" s="28"/>
      <c r="U35" s="28"/>
      <c r="V35" s="27"/>
      <c r="W35" s="27"/>
      <c r="X35" s="27"/>
      <c r="Y35" s="27"/>
      <c r="Z35" s="27"/>
      <c r="AA35" s="28"/>
      <c r="AB35" s="28"/>
      <c r="AC35" s="27"/>
      <c r="AD35" s="27"/>
      <c r="AE35" s="27"/>
      <c r="AF35" s="27"/>
      <c r="AG35" s="27"/>
      <c r="AH35" s="28"/>
      <c r="AI35" s="28"/>
      <c r="AJ35" s="27"/>
      <c r="AK35" s="27"/>
      <c r="AL35" s="27"/>
      <c r="AM35" s="21">
        <f t="shared" si="1"/>
        <v>10</v>
      </c>
      <c r="AN35">
        <f t="shared" si="2"/>
        <v>0</v>
      </c>
    </row>
    <row r="36" spans="4:40" hidden="1" x14ac:dyDescent="0.45">
      <c r="D36" s="10"/>
      <c r="E36" t="s">
        <v>33</v>
      </c>
      <c r="F36" s="11">
        <f>VLOOKUP(E36,[1]Demanda_y_Materiales!$A:$D,4,0)</f>
        <v>2</v>
      </c>
      <c r="G36" s="12" t="s">
        <v>40</v>
      </c>
      <c r="H36" s="12">
        <v>2</v>
      </c>
      <c r="I36" s="27"/>
      <c r="J36" s="27"/>
      <c r="K36" s="27"/>
      <c r="L36" s="27"/>
      <c r="M36" s="28"/>
      <c r="N36" s="28"/>
      <c r="O36" s="27"/>
      <c r="P36" s="27"/>
      <c r="Q36" s="27"/>
      <c r="R36" s="27"/>
      <c r="S36" s="27"/>
      <c r="T36" s="28"/>
      <c r="U36" s="28"/>
      <c r="V36" s="27"/>
      <c r="W36" s="27"/>
      <c r="X36" s="27"/>
      <c r="Y36" s="27"/>
      <c r="Z36" s="27"/>
      <c r="AA36" s="28"/>
      <c r="AB36" s="28"/>
      <c r="AC36" s="27"/>
      <c r="AD36" s="27"/>
      <c r="AE36" s="27"/>
      <c r="AF36" s="27"/>
      <c r="AG36" s="27"/>
      <c r="AH36" s="28"/>
      <c r="AI36" s="28"/>
      <c r="AJ36" s="27"/>
      <c r="AK36" s="27"/>
      <c r="AL36" s="27"/>
      <c r="AM36" s="21">
        <f t="shared" si="1"/>
        <v>2</v>
      </c>
      <c r="AN36">
        <f t="shared" si="2"/>
        <v>0</v>
      </c>
    </row>
    <row r="37" spans="4:40" hidden="1" x14ac:dyDescent="0.45">
      <c r="D37" s="10"/>
      <c r="E37" t="s">
        <v>15</v>
      </c>
      <c r="F37" s="11">
        <f>VLOOKUP(E37,[1]Demanda_y_Materiales!$A:$D,4,0)</f>
        <v>3</v>
      </c>
      <c r="G37" s="12" t="s">
        <v>41</v>
      </c>
      <c r="H37" s="12">
        <v>3</v>
      </c>
      <c r="I37" s="27"/>
      <c r="J37" s="27"/>
      <c r="K37" s="27"/>
      <c r="L37" s="27"/>
      <c r="M37" s="28"/>
      <c r="N37" s="28"/>
      <c r="O37" s="27"/>
      <c r="P37" s="27"/>
      <c r="Q37" s="27"/>
      <c r="R37" s="27"/>
      <c r="S37" s="27"/>
      <c r="T37" s="28"/>
      <c r="U37" s="28"/>
      <c r="V37" s="27"/>
      <c r="W37" s="27"/>
      <c r="X37" s="27"/>
      <c r="Y37" s="27"/>
      <c r="Z37" s="27"/>
      <c r="AA37" s="28"/>
      <c r="AB37" s="28"/>
      <c r="AC37" s="27"/>
      <c r="AD37" s="27"/>
      <c r="AE37" s="27"/>
      <c r="AF37" s="27"/>
      <c r="AG37" s="27"/>
      <c r="AH37" s="28"/>
      <c r="AI37" s="28"/>
      <c r="AJ37" s="27"/>
      <c r="AK37" s="27"/>
      <c r="AL37" s="27"/>
      <c r="AM37" s="21">
        <f t="shared" si="1"/>
        <v>3</v>
      </c>
      <c r="AN37">
        <f t="shared" si="2"/>
        <v>0</v>
      </c>
    </row>
    <row r="38" spans="4:40" hidden="1" x14ac:dyDescent="0.45">
      <c r="D38" s="10"/>
      <c r="E38" t="s">
        <v>35</v>
      </c>
      <c r="F38" s="11">
        <f>VLOOKUP(E38,[1]Demanda_y_Materiales!$A:$D,4,0)</f>
        <v>2</v>
      </c>
      <c r="G38" s="12" t="s">
        <v>42</v>
      </c>
      <c r="H38" s="12">
        <v>2</v>
      </c>
      <c r="I38" s="27"/>
      <c r="J38" s="27"/>
      <c r="K38" s="27"/>
      <c r="L38" s="27"/>
      <c r="M38" s="28"/>
      <c r="N38" s="28"/>
      <c r="O38" s="27"/>
      <c r="P38" s="27"/>
      <c r="Q38" s="27"/>
      <c r="R38" s="27"/>
      <c r="S38" s="27"/>
      <c r="T38" s="28"/>
      <c r="U38" s="28"/>
      <c r="V38" s="27"/>
      <c r="W38" s="27"/>
      <c r="X38" s="27"/>
      <c r="Y38" s="27"/>
      <c r="Z38" s="27"/>
      <c r="AA38" s="28"/>
      <c r="AB38" s="28"/>
      <c r="AC38" s="27"/>
      <c r="AD38" s="27"/>
      <c r="AE38" s="27"/>
      <c r="AF38" s="27"/>
      <c r="AG38" s="27"/>
      <c r="AH38" s="28"/>
      <c r="AI38" s="28"/>
      <c r="AJ38" s="27"/>
      <c r="AK38" s="27"/>
      <c r="AL38" s="27"/>
      <c r="AM38" s="21">
        <f t="shared" si="1"/>
        <v>2</v>
      </c>
      <c r="AN38">
        <f t="shared" si="2"/>
        <v>0</v>
      </c>
    </row>
    <row r="39" spans="4:40" hidden="1" x14ac:dyDescent="0.45">
      <c r="D39" s="10"/>
      <c r="E39" t="s">
        <v>36</v>
      </c>
      <c r="F39" s="11">
        <f>VLOOKUP(E39,[1]Demanda_y_Materiales!$A:$D,4,0)</f>
        <v>1</v>
      </c>
      <c r="G39" s="12" t="s">
        <v>43</v>
      </c>
      <c r="H39" s="12">
        <v>1</v>
      </c>
      <c r="I39" s="27"/>
      <c r="J39" s="27"/>
      <c r="K39" s="27"/>
      <c r="L39" s="27"/>
      <c r="M39" s="28"/>
      <c r="N39" s="28"/>
      <c r="O39" s="27"/>
      <c r="P39" s="27"/>
      <c r="Q39" s="27"/>
      <c r="R39" s="27"/>
      <c r="S39" s="27"/>
      <c r="T39" s="28"/>
      <c r="U39" s="28"/>
      <c r="V39" s="27"/>
      <c r="W39" s="27"/>
      <c r="X39" s="27"/>
      <c r="Y39" s="27"/>
      <c r="Z39" s="27"/>
      <c r="AA39" s="28"/>
      <c r="AB39" s="28"/>
      <c r="AC39" s="27"/>
      <c r="AD39" s="27"/>
      <c r="AE39" s="27"/>
      <c r="AF39" s="27"/>
      <c r="AG39" s="27"/>
      <c r="AH39" s="28"/>
      <c r="AI39" s="28"/>
      <c r="AJ39" s="27"/>
      <c r="AK39" s="27"/>
      <c r="AL39" s="27"/>
      <c r="AM39" s="21">
        <f t="shared" si="1"/>
        <v>1</v>
      </c>
      <c r="AN39">
        <f t="shared" si="2"/>
        <v>0</v>
      </c>
    </row>
    <row r="40" spans="4:40" hidden="1" x14ac:dyDescent="0.45">
      <c r="D40" s="10"/>
      <c r="E40" t="s">
        <v>37</v>
      </c>
      <c r="F40" s="11">
        <f>VLOOKUP(E40,[1]Demanda_y_Materiales!$A:$D,4,0)</f>
        <v>1</v>
      </c>
      <c r="G40" s="12" t="s">
        <v>44</v>
      </c>
      <c r="H40" s="12">
        <v>1</v>
      </c>
      <c r="I40" s="27"/>
      <c r="J40" s="27"/>
      <c r="K40" s="27"/>
      <c r="L40" s="27"/>
      <c r="M40" s="28"/>
      <c r="N40" s="28"/>
      <c r="O40" s="27"/>
      <c r="P40" s="27"/>
      <c r="Q40" s="27"/>
      <c r="R40" s="27"/>
      <c r="S40" s="27"/>
      <c r="T40" s="28"/>
      <c r="U40" s="28"/>
      <c r="V40" s="27"/>
      <c r="W40" s="27"/>
      <c r="X40" s="27"/>
      <c r="Y40" s="27"/>
      <c r="Z40" s="27"/>
      <c r="AA40" s="28"/>
      <c r="AB40" s="28"/>
      <c r="AC40" s="27"/>
      <c r="AD40" s="27"/>
      <c r="AE40" s="27"/>
      <c r="AF40" s="27"/>
      <c r="AG40" s="27"/>
      <c r="AH40" s="28"/>
      <c r="AI40" s="28"/>
      <c r="AJ40" s="27"/>
      <c r="AK40" s="27"/>
      <c r="AL40" s="27"/>
      <c r="AM40" s="21">
        <f t="shared" si="1"/>
        <v>1</v>
      </c>
      <c r="AN40">
        <f t="shared" si="2"/>
        <v>0</v>
      </c>
    </row>
    <row r="41" spans="4:40" hidden="1" x14ac:dyDescent="0.45">
      <c r="D41" s="10"/>
      <c r="E41" t="s">
        <v>38</v>
      </c>
      <c r="F41" s="11">
        <f>VLOOKUP(E41,[1]Demanda_y_Materiales!$A:$D,4,0)</f>
        <v>1</v>
      </c>
      <c r="G41" s="12" t="s">
        <v>45</v>
      </c>
      <c r="H41" s="12">
        <v>1</v>
      </c>
      <c r="I41" s="27"/>
      <c r="J41" s="27"/>
      <c r="K41" s="27"/>
      <c r="L41" s="27"/>
      <c r="M41" s="28"/>
      <c r="N41" s="28"/>
      <c r="O41" s="27"/>
      <c r="P41" s="27"/>
      <c r="Q41" s="27"/>
      <c r="R41" s="27"/>
      <c r="S41" s="27"/>
      <c r="T41" s="28"/>
      <c r="U41" s="28"/>
      <c r="V41" s="27"/>
      <c r="W41" s="27"/>
      <c r="X41" s="27"/>
      <c r="Y41" s="27"/>
      <c r="Z41" s="27"/>
      <c r="AA41" s="28"/>
      <c r="AB41" s="28"/>
      <c r="AC41" s="27"/>
      <c r="AD41" s="27"/>
      <c r="AE41" s="27"/>
      <c r="AF41" s="27"/>
      <c r="AG41" s="27"/>
      <c r="AH41" s="28"/>
      <c r="AI41" s="28"/>
      <c r="AJ41" s="27"/>
      <c r="AK41" s="27"/>
      <c r="AL41" s="27"/>
      <c r="AM41" s="21">
        <f t="shared" si="1"/>
        <v>1</v>
      </c>
      <c r="AN41">
        <f t="shared" si="2"/>
        <v>0</v>
      </c>
    </row>
    <row r="42" spans="4:40" hidden="1" x14ac:dyDescent="0.45">
      <c r="E42" s="14" t="s">
        <v>2</v>
      </c>
      <c r="F42" s="14">
        <f>+SUM(F7:F41)</f>
        <v>842</v>
      </c>
      <c r="G42" s="14"/>
      <c r="H42" s="14">
        <f t="shared" ref="H42:AL42" si="4">+SUM(H8:H41)</f>
        <v>49</v>
      </c>
      <c r="I42" s="14">
        <f t="shared" si="4"/>
        <v>43</v>
      </c>
      <c r="J42" s="14">
        <f t="shared" si="4"/>
        <v>39</v>
      </c>
      <c r="K42" s="14">
        <f t="shared" si="4"/>
        <v>37</v>
      </c>
      <c r="L42" s="14">
        <f t="shared" si="4"/>
        <v>38</v>
      </c>
      <c r="M42" s="14">
        <f t="shared" si="4"/>
        <v>39</v>
      </c>
      <c r="N42" s="14">
        <f t="shared" si="4"/>
        <v>0</v>
      </c>
      <c r="O42" s="14">
        <f t="shared" si="4"/>
        <v>35</v>
      </c>
      <c r="P42" s="14">
        <f t="shared" si="4"/>
        <v>42</v>
      </c>
      <c r="Q42" s="14">
        <f t="shared" si="4"/>
        <v>42</v>
      </c>
      <c r="R42" s="14">
        <f t="shared" si="4"/>
        <v>42</v>
      </c>
      <c r="S42" s="14">
        <f t="shared" si="4"/>
        <v>37</v>
      </c>
      <c r="T42" s="14">
        <f t="shared" si="4"/>
        <v>37</v>
      </c>
      <c r="U42" s="14">
        <f t="shared" si="4"/>
        <v>7</v>
      </c>
      <c r="V42" s="14">
        <f t="shared" si="4"/>
        <v>36</v>
      </c>
      <c r="W42" s="14">
        <f t="shared" si="4"/>
        <v>33</v>
      </c>
      <c r="X42" s="14">
        <f t="shared" si="4"/>
        <v>30</v>
      </c>
      <c r="Y42" s="14">
        <f t="shared" si="4"/>
        <v>42</v>
      </c>
      <c r="Z42" s="14">
        <f t="shared" si="4"/>
        <v>29</v>
      </c>
      <c r="AA42" s="14">
        <f t="shared" si="4"/>
        <v>28</v>
      </c>
      <c r="AB42" s="14">
        <f t="shared" si="4"/>
        <v>0</v>
      </c>
      <c r="AC42" s="14">
        <f t="shared" si="4"/>
        <v>27</v>
      </c>
      <c r="AD42" s="14">
        <f t="shared" si="4"/>
        <v>21</v>
      </c>
      <c r="AE42" s="14">
        <f t="shared" si="4"/>
        <v>28</v>
      </c>
      <c r="AF42" s="14">
        <f t="shared" si="4"/>
        <v>28</v>
      </c>
      <c r="AG42" s="14">
        <f t="shared" si="4"/>
        <v>23</v>
      </c>
      <c r="AH42" s="14">
        <f t="shared" si="4"/>
        <v>21</v>
      </c>
      <c r="AI42" s="14">
        <f t="shared" si="4"/>
        <v>0</v>
      </c>
      <c r="AJ42" s="14">
        <f t="shared" si="4"/>
        <v>8</v>
      </c>
      <c r="AK42" s="14">
        <f t="shared" si="4"/>
        <v>1</v>
      </c>
      <c r="AL42" s="14">
        <f t="shared" si="4"/>
        <v>0</v>
      </c>
      <c r="AM42" s="14">
        <f>+SUM(AM7:AM41)</f>
        <v>842</v>
      </c>
    </row>
  </sheetData>
  <autoFilter ref="E7:AM42" xr:uid="{89E0741A-6980-4627-8019-D1A268A622D3}">
    <filterColumn colId="2">
      <filters>
        <filter val="Efrain"/>
        <filter val="Fabian D."/>
        <filter val="Jimmy"/>
        <filter val="Luis"/>
        <filter val="Orlando"/>
        <filter val="Wilmer"/>
      </filters>
    </filterColumn>
    <sortState xmlns:xlrd2="http://schemas.microsoft.com/office/spreadsheetml/2017/richdata2" ref="E8:AM42">
      <sortCondition ref="G8:G42"/>
      <sortCondition ref="E8:E42"/>
    </sortState>
  </autoFilter>
  <phoneticPr fontId="4" type="noConversion"/>
  <conditionalFormatting sqref="E1:E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Gantt L-V</vt:lpstr>
      <vt:lpstr>'Gantt L-V'!Área_de_impresión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Jimenez</dc:creator>
  <cp:lastModifiedBy>christian zambrano vallejos</cp:lastModifiedBy>
  <cp:lastPrinted>2025-11-05T14:35:35Z</cp:lastPrinted>
  <dcterms:created xsi:type="dcterms:W3CDTF">2025-11-05T14:16:25Z</dcterms:created>
  <dcterms:modified xsi:type="dcterms:W3CDTF">2026-01-04T16:52:31Z</dcterms:modified>
</cp:coreProperties>
</file>